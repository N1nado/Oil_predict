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2.xml" ContentType="application/vnd.openxmlformats-officedocument.drawing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melya\Desktop\PYTHON\"/>
    </mc:Choice>
  </mc:AlternateContent>
  <xr:revisionPtr revIDLastSave="0" documentId="13_ncr:1_{684323AB-2364-439C-840A-4E799E461069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aster" sheetId="1" r:id="rId1"/>
    <sheet name="SubMaster" sheetId="7" r:id="rId2"/>
    <sheet name="Радиус зоны дренирования, м" sheetId="2" r:id="rId3"/>
    <sheet name="Количество стадий ГРП, шт" sheetId="4" r:id="rId4"/>
    <sheet name="Дебит нефти скважины, м3 сут" sheetId="5" r:id="rId5"/>
    <sheet name="Correlation ALL" sheetId="9" r:id="rId6"/>
    <sheet name="Correlation MAIN" sheetId="10" r:id="rId7"/>
    <sheet name="Normalization Detailed" sheetId="13" r:id="rId8"/>
    <sheet name="Correlation of Normalized" sheetId="14" r:id="rId9"/>
    <sheet name="Лист1" sheetId="15" r:id="rId10"/>
    <sheet name="Лист2" sheetId="16" r:id="rId11"/>
    <sheet name="Лист3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4" l="1"/>
  <c r="E38" i="14"/>
  <c r="F38" i="14"/>
  <c r="G38" i="14"/>
  <c r="H38" i="14"/>
  <c r="I38" i="14"/>
  <c r="J38" i="14"/>
  <c r="K38" i="14"/>
  <c r="L38" i="14"/>
  <c r="M38" i="14"/>
  <c r="N38" i="14"/>
  <c r="O38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D47" i="14"/>
  <c r="E47" i="14"/>
  <c r="F47" i="14"/>
  <c r="G47" i="14"/>
  <c r="H47" i="14"/>
  <c r="I47" i="14"/>
  <c r="J47" i="14"/>
  <c r="K47" i="14"/>
  <c r="L47" i="14"/>
  <c r="M47" i="14"/>
  <c r="N47" i="14"/>
  <c r="O47" i="14"/>
  <c r="D48" i="14"/>
  <c r="E48" i="14"/>
  <c r="F48" i="14"/>
  <c r="G48" i="14"/>
  <c r="H48" i="14"/>
  <c r="I48" i="14"/>
  <c r="J48" i="14"/>
  <c r="K48" i="14"/>
  <c r="L48" i="14"/>
  <c r="M48" i="14"/>
  <c r="N48" i="14"/>
  <c r="O48" i="14"/>
  <c r="D49" i="14"/>
  <c r="E49" i="14"/>
  <c r="F49" i="14"/>
  <c r="G49" i="14"/>
  <c r="H49" i="14"/>
  <c r="I49" i="14"/>
  <c r="J49" i="14"/>
  <c r="K49" i="14"/>
  <c r="L49" i="14"/>
  <c r="M49" i="14"/>
  <c r="N49" i="14"/>
  <c r="O49" i="14"/>
  <c r="D50" i="14"/>
  <c r="E50" i="14"/>
  <c r="F50" i="14"/>
  <c r="G50" i="14"/>
  <c r="H50" i="14"/>
  <c r="I50" i="14"/>
  <c r="J50" i="14"/>
  <c r="K50" i="14"/>
  <c r="L50" i="14"/>
  <c r="M50" i="14"/>
  <c r="N50" i="14"/>
  <c r="O50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N127" i="13"/>
  <c r="N128" i="13"/>
  <c r="N129" i="13"/>
  <c r="N130" i="13"/>
  <c r="N131" i="13"/>
  <c r="N132" i="13"/>
  <c r="N133" i="13"/>
  <c r="N134" i="13"/>
  <c r="N135" i="13"/>
  <c r="N136" i="13"/>
  <c r="N137" i="13"/>
  <c r="N138" i="13"/>
  <c r="N139" i="13"/>
  <c r="N140" i="13"/>
  <c r="N141" i="13"/>
  <c r="N142" i="13"/>
  <c r="N143" i="13"/>
  <c r="N144" i="13"/>
  <c r="N145" i="13"/>
  <c r="N146" i="13"/>
  <c r="N147" i="13"/>
  <c r="N148" i="13"/>
  <c r="N149" i="13"/>
  <c r="N150" i="13"/>
  <c r="N151" i="13"/>
  <c r="N152" i="13"/>
  <c r="N153" i="13"/>
  <c r="N154" i="13"/>
  <c r="N155" i="13"/>
  <c r="N156" i="13"/>
  <c r="N157" i="13"/>
  <c r="N158" i="13"/>
  <c r="N159" i="13"/>
  <c r="N160" i="13"/>
  <c r="N161" i="13"/>
  <c r="N162" i="13"/>
  <c r="N163" i="13"/>
  <c r="N164" i="13"/>
  <c r="N165" i="13"/>
  <c r="N166" i="13"/>
  <c r="N167" i="13"/>
  <c r="N168" i="13"/>
  <c r="N169" i="13"/>
  <c r="N170" i="13"/>
  <c r="N171" i="13"/>
  <c r="N172" i="13"/>
  <c r="N173" i="13"/>
  <c r="N174" i="13"/>
  <c r="N175" i="13"/>
  <c r="N176" i="13"/>
  <c r="N177" i="13"/>
  <c r="N178" i="13"/>
  <c r="N179" i="13"/>
  <c r="N180" i="13"/>
  <c r="N181" i="13"/>
  <c r="N182" i="13"/>
  <c r="N183" i="13"/>
  <c r="N184" i="13"/>
  <c r="N185" i="13"/>
  <c r="N186" i="13"/>
  <c r="N187" i="13"/>
  <c r="N3" i="13"/>
  <c r="AQ3" i="13"/>
  <c r="AQ4" i="13"/>
  <c r="AE10" i="13" l="1"/>
  <c r="AS4" i="13"/>
  <c r="AS5" i="13"/>
  <c r="AS6" i="13"/>
  <c r="AS7" i="13"/>
  <c r="AS8" i="13"/>
  <c r="AS9" i="13"/>
  <c r="AS10" i="13"/>
  <c r="AS11" i="13"/>
  <c r="AS12" i="13"/>
  <c r="AS13" i="13"/>
  <c r="AS14" i="13"/>
  <c r="AS15" i="13"/>
  <c r="AS16" i="13"/>
  <c r="AS17" i="13"/>
  <c r="AS18" i="13"/>
  <c r="AS19" i="13"/>
  <c r="AS20" i="13"/>
  <c r="AS21" i="13"/>
  <c r="AS22" i="13"/>
  <c r="AS23" i="13"/>
  <c r="AS24" i="13"/>
  <c r="AS25" i="13"/>
  <c r="AS26" i="13"/>
  <c r="AS27" i="13"/>
  <c r="AS28" i="13"/>
  <c r="AS29" i="13"/>
  <c r="AS30" i="13"/>
  <c r="AS31" i="13"/>
  <c r="AS32" i="13"/>
  <c r="AS33" i="13"/>
  <c r="AS34" i="13"/>
  <c r="AS35" i="13"/>
  <c r="AS36" i="13"/>
  <c r="AS37" i="13"/>
  <c r="AS38" i="13"/>
  <c r="AS39" i="13"/>
  <c r="AS40" i="13"/>
  <c r="AS41" i="13"/>
  <c r="AS42" i="13"/>
  <c r="AS43" i="13"/>
  <c r="AS44" i="13"/>
  <c r="AS45" i="13"/>
  <c r="AS46" i="13"/>
  <c r="AS47" i="13"/>
  <c r="AS48" i="13"/>
  <c r="AS49" i="13"/>
  <c r="AS50" i="13"/>
  <c r="AS51" i="13"/>
  <c r="AS52" i="13"/>
  <c r="AS53" i="13"/>
  <c r="AS54" i="13"/>
  <c r="AS55" i="13"/>
  <c r="AS56" i="13"/>
  <c r="AS57" i="13"/>
  <c r="AS58" i="13"/>
  <c r="AS59" i="13"/>
  <c r="AS60" i="13"/>
  <c r="AS61" i="13"/>
  <c r="AS62" i="13"/>
  <c r="AS63" i="13"/>
  <c r="AS64" i="13"/>
  <c r="AS65" i="13"/>
  <c r="AS66" i="13"/>
  <c r="AS67" i="13"/>
  <c r="AS68" i="13"/>
  <c r="AS69" i="13"/>
  <c r="AS70" i="13"/>
  <c r="AS71" i="13"/>
  <c r="AS72" i="13"/>
  <c r="AS73" i="13"/>
  <c r="AS74" i="13"/>
  <c r="AS75" i="13"/>
  <c r="AS76" i="13"/>
  <c r="AS77" i="13"/>
  <c r="AS78" i="13"/>
  <c r="AS79" i="13"/>
  <c r="AS80" i="13"/>
  <c r="AS81" i="13"/>
  <c r="AS82" i="13"/>
  <c r="AS83" i="13"/>
  <c r="AS84" i="13"/>
  <c r="AS85" i="13"/>
  <c r="AS86" i="13"/>
  <c r="AS87" i="13"/>
  <c r="AS88" i="13"/>
  <c r="AS89" i="13"/>
  <c r="AS90" i="13"/>
  <c r="AS91" i="13"/>
  <c r="AS92" i="13"/>
  <c r="AS93" i="13"/>
  <c r="AS94" i="13"/>
  <c r="AS95" i="13"/>
  <c r="AS96" i="13"/>
  <c r="AS97" i="13"/>
  <c r="AS98" i="13"/>
  <c r="AS99" i="13"/>
  <c r="AS100" i="13"/>
  <c r="AS101" i="13"/>
  <c r="AS102" i="13"/>
  <c r="AS103" i="13"/>
  <c r="AS104" i="13"/>
  <c r="AS105" i="13"/>
  <c r="AS106" i="13"/>
  <c r="AS107" i="13"/>
  <c r="AS108" i="13"/>
  <c r="AS109" i="13"/>
  <c r="AS110" i="13"/>
  <c r="AS111" i="13"/>
  <c r="AS112" i="13"/>
  <c r="AS113" i="13"/>
  <c r="AS114" i="13"/>
  <c r="AS115" i="13"/>
  <c r="AS116" i="13"/>
  <c r="AS117" i="13"/>
  <c r="AS118" i="13"/>
  <c r="AS119" i="13"/>
  <c r="AS120" i="13"/>
  <c r="AS121" i="13"/>
  <c r="AS122" i="13"/>
  <c r="AS123" i="13"/>
  <c r="AS124" i="13"/>
  <c r="AS125" i="13"/>
  <c r="AS126" i="13"/>
  <c r="AS127" i="13"/>
  <c r="AS128" i="13"/>
  <c r="AS129" i="13"/>
  <c r="AS130" i="13"/>
  <c r="AS131" i="13"/>
  <c r="AS132" i="13"/>
  <c r="AS133" i="13"/>
  <c r="AS134" i="13"/>
  <c r="AS135" i="13"/>
  <c r="AS136" i="13"/>
  <c r="AS137" i="13"/>
  <c r="AS138" i="13"/>
  <c r="AS139" i="13"/>
  <c r="AS140" i="13"/>
  <c r="AS141" i="13"/>
  <c r="AS142" i="13"/>
  <c r="AS143" i="13"/>
  <c r="AS144" i="13"/>
  <c r="AS145" i="13"/>
  <c r="AS146" i="13"/>
  <c r="AS147" i="13"/>
  <c r="AS148" i="13"/>
  <c r="AS149" i="13"/>
  <c r="AS150" i="13"/>
  <c r="AS151" i="13"/>
  <c r="AS152" i="13"/>
  <c r="AS153" i="13"/>
  <c r="AS154" i="13"/>
  <c r="AS155" i="13"/>
  <c r="AS156" i="13"/>
  <c r="AS157" i="13"/>
  <c r="AS158" i="13"/>
  <c r="AS159" i="13"/>
  <c r="AS160" i="13"/>
  <c r="AS161" i="13"/>
  <c r="AS162" i="13"/>
  <c r="AS163" i="13"/>
  <c r="AS164" i="13"/>
  <c r="AS165" i="13"/>
  <c r="AS166" i="13"/>
  <c r="AS167" i="13"/>
  <c r="AS168" i="13"/>
  <c r="AS169" i="13"/>
  <c r="AS170" i="13"/>
  <c r="AS171" i="13"/>
  <c r="AS172" i="13"/>
  <c r="AS173" i="13"/>
  <c r="AS174" i="13"/>
  <c r="AS175" i="13"/>
  <c r="AS176" i="13"/>
  <c r="AS177" i="13"/>
  <c r="AS178" i="13"/>
  <c r="AS179" i="13"/>
  <c r="AS180" i="13"/>
  <c r="AS181" i="13"/>
  <c r="AS182" i="13"/>
  <c r="AS183" i="13"/>
  <c r="AS184" i="13"/>
  <c r="AS185" i="13"/>
  <c r="AS186" i="13"/>
  <c r="AS187" i="13"/>
  <c r="AS3" i="13"/>
  <c r="AT4" i="13"/>
  <c r="AT5" i="13"/>
  <c r="AT6" i="13"/>
  <c r="AT7" i="13"/>
  <c r="AT8" i="13"/>
  <c r="AT9" i="13"/>
  <c r="AT10" i="13"/>
  <c r="AT11" i="13"/>
  <c r="AT12" i="13"/>
  <c r="AT13" i="13"/>
  <c r="AT14" i="13"/>
  <c r="AT15" i="13"/>
  <c r="AT16" i="13"/>
  <c r="AT17" i="13"/>
  <c r="AT18" i="13"/>
  <c r="AT19" i="13"/>
  <c r="AT20" i="13"/>
  <c r="AT21" i="13"/>
  <c r="AT22" i="13"/>
  <c r="AT23" i="13"/>
  <c r="AT24" i="13"/>
  <c r="AT25" i="13"/>
  <c r="AT26" i="13"/>
  <c r="AT27" i="13"/>
  <c r="AT28" i="13"/>
  <c r="AT29" i="13"/>
  <c r="AT30" i="13"/>
  <c r="AT31" i="13"/>
  <c r="AT32" i="13"/>
  <c r="AT33" i="13"/>
  <c r="AT34" i="13"/>
  <c r="AT35" i="13"/>
  <c r="AT36" i="13"/>
  <c r="AT37" i="13"/>
  <c r="AT38" i="13"/>
  <c r="AT39" i="13"/>
  <c r="AT40" i="13"/>
  <c r="AT41" i="13"/>
  <c r="AT42" i="13"/>
  <c r="AT43" i="13"/>
  <c r="AT44" i="13"/>
  <c r="AT45" i="13"/>
  <c r="AT46" i="13"/>
  <c r="AT47" i="13"/>
  <c r="AT48" i="13"/>
  <c r="AT49" i="13"/>
  <c r="AT50" i="13"/>
  <c r="AT51" i="13"/>
  <c r="AT52" i="13"/>
  <c r="AT53" i="13"/>
  <c r="AT54" i="13"/>
  <c r="AT55" i="13"/>
  <c r="AT56" i="13"/>
  <c r="AT57" i="13"/>
  <c r="AT58" i="13"/>
  <c r="AT59" i="13"/>
  <c r="AT60" i="13"/>
  <c r="AT61" i="13"/>
  <c r="AT62" i="13"/>
  <c r="AT63" i="13"/>
  <c r="AT64" i="13"/>
  <c r="AT65" i="13"/>
  <c r="AT66" i="13"/>
  <c r="AT67" i="13"/>
  <c r="AT68" i="13"/>
  <c r="AT69" i="13"/>
  <c r="AT70" i="13"/>
  <c r="AT71" i="13"/>
  <c r="AT72" i="13"/>
  <c r="AT73" i="13"/>
  <c r="AT74" i="13"/>
  <c r="AT75" i="13"/>
  <c r="AT76" i="13"/>
  <c r="AT77" i="13"/>
  <c r="AT78" i="13"/>
  <c r="AT79" i="13"/>
  <c r="AT80" i="13"/>
  <c r="AT81" i="13"/>
  <c r="AT82" i="13"/>
  <c r="AT83" i="13"/>
  <c r="AT84" i="13"/>
  <c r="AT85" i="13"/>
  <c r="AT86" i="13"/>
  <c r="AT87" i="13"/>
  <c r="AT88" i="13"/>
  <c r="AT89" i="13"/>
  <c r="AT90" i="13"/>
  <c r="AT91" i="13"/>
  <c r="AT92" i="13"/>
  <c r="AT93" i="13"/>
  <c r="AT94" i="13"/>
  <c r="AT95" i="13"/>
  <c r="AT96" i="13"/>
  <c r="AT97" i="13"/>
  <c r="AT98" i="13"/>
  <c r="AT99" i="13"/>
  <c r="AT100" i="13"/>
  <c r="AT101" i="13"/>
  <c r="AT102" i="13"/>
  <c r="AT103" i="13"/>
  <c r="AT104" i="13"/>
  <c r="AT105" i="13"/>
  <c r="AT106" i="13"/>
  <c r="AT107" i="13"/>
  <c r="AT108" i="13"/>
  <c r="AT109" i="13"/>
  <c r="AT110" i="13"/>
  <c r="AT111" i="13"/>
  <c r="AT112" i="13"/>
  <c r="AT113" i="13"/>
  <c r="AT114" i="13"/>
  <c r="AT115" i="13"/>
  <c r="AT116" i="13"/>
  <c r="AT117" i="13"/>
  <c r="AT118" i="13"/>
  <c r="AT119" i="13"/>
  <c r="AT120" i="13"/>
  <c r="AT121" i="13"/>
  <c r="AT122" i="13"/>
  <c r="AT123" i="13"/>
  <c r="AT124" i="13"/>
  <c r="AT125" i="13"/>
  <c r="AT126" i="13"/>
  <c r="AT127" i="13"/>
  <c r="AT128" i="13"/>
  <c r="AT129" i="13"/>
  <c r="AT130" i="13"/>
  <c r="AT131" i="13"/>
  <c r="AT132" i="13"/>
  <c r="AT133" i="13"/>
  <c r="AT134" i="13"/>
  <c r="AT135" i="13"/>
  <c r="AT136" i="13"/>
  <c r="AT137" i="13"/>
  <c r="AT138" i="13"/>
  <c r="AT139" i="13"/>
  <c r="AT140" i="13"/>
  <c r="AT141" i="13"/>
  <c r="AT142" i="13"/>
  <c r="AT143" i="13"/>
  <c r="AT144" i="13"/>
  <c r="AT145" i="13"/>
  <c r="AT146" i="13"/>
  <c r="AT147" i="13"/>
  <c r="AT148" i="13"/>
  <c r="AT149" i="13"/>
  <c r="AT150" i="13"/>
  <c r="AT151" i="13"/>
  <c r="AT152" i="13"/>
  <c r="AT153" i="13"/>
  <c r="AT154" i="13"/>
  <c r="AT155" i="13"/>
  <c r="AT156" i="13"/>
  <c r="AT157" i="13"/>
  <c r="AT158" i="13"/>
  <c r="AT159" i="13"/>
  <c r="AT160" i="13"/>
  <c r="AT161" i="13"/>
  <c r="AT162" i="13"/>
  <c r="AT163" i="13"/>
  <c r="AT164" i="13"/>
  <c r="AT165" i="13"/>
  <c r="AT166" i="13"/>
  <c r="AT167" i="13"/>
  <c r="AT168" i="13"/>
  <c r="AT169" i="13"/>
  <c r="AT170" i="13"/>
  <c r="AT171" i="13"/>
  <c r="AT172" i="13"/>
  <c r="AT173" i="13"/>
  <c r="AT174" i="13"/>
  <c r="AT175" i="13"/>
  <c r="AT176" i="13"/>
  <c r="AT177" i="13"/>
  <c r="AT178" i="13"/>
  <c r="AT179" i="13"/>
  <c r="AT180" i="13"/>
  <c r="AT181" i="13"/>
  <c r="AT182" i="13"/>
  <c r="AT183" i="13"/>
  <c r="AT184" i="13"/>
  <c r="AT185" i="13"/>
  <c r="AT186" i="13"/>
  <c r="AT187" i="13"/>
  <c r="AT3" i="13"/>
  <c r="AQ5" i="13"/>
  <c r="AQ6" i="13"/>
  <c r="AQ7" i="13"/>
  <c r="AQ8" i="13"/>
  <c r="AQ9" i="13"/>
  <c r="AQ10" i="13"/>
  <c r="AQ11" i="13"/>
  <c r="AQ12" i="13"/>
  <c r="AQ13" i="13"/>
  <c r="AQ14" i="13"/>
  <c r="AQ15" i="13"/>
  <c r="AQ16" i="13"/>
  <c r="AQ17" i="13"/>
  <c r="AQ18" i="13"/>
  <c r="AQ19" i="13"/>
  <c r="AQ20" i="13"/>
  <c r="AQ21" i="13"/>
  <c r="AQ22" i="13"/>
  <c r="AQ23" i="13"/>
  <c r="AQ24" i="13"/>
  <c r="AQ25" i="13"/>
  <c r="AQ26" i="13"/>
  <c r="AQ27" i="13"/>
  <c r="AQ28" i="13"/>
  <c r="AQ29" i="13"/>
  <c r="AQ30" i="13"/>
  <c r="AQ31" i="13"/>
  <c r="AQ32" i="13"/>
  <c r="AQ33" i="13"/>
  <c r="AQ34" i="13"/>
  <c r="AQ35" i="13"/>
  <c r="AQ36" i="13"/>
  <c r="AQ37" i="13"/>
  <c r="AQ38" i="13"/>
  <c r="AQ39" i="13"/>
  <c r="AQ40" i="13"/>
  <c r="AQ41" i="13"/>
  <c r="AQ42" i="13"/>
  <c r="AQ43" i="13"/>
  <c r="AQ44" i="13"/>
  <c r="AQ45" i="13"/>
  <c r="AQ46" i="13"/>
  <c r="AQ47" i="13"/>
  <c r="AQ48" i="13"/>
  <c r="AQ49" i="13"/>
  <c r="AQ50" i="13"/>
  <c r="AQ51" i="13"/>
  <c r="AQ52" i="13"/>
  <c r="AQ53" i="13"/>
  <c r="AQ54" i="13"/>
  <c r="AQ55" i="13"/>
  <c r="AQ56" i="13"/>
  <c r="AQ57" i="13"/>
  <c r="AQ58" i="13"/>
  <c r="AQ59" i="13"/>
  <c r="AQ60" i="13"/>
  <c r="AQ61" i="13"/>
  <c r="AQ62" i="13"/>
  <c r="AQ63" i="13"/>
  <c r="AQ64" i="13"/>
  <c r="AQ65" i="13"/>
  <c r="AQ66" i="13"/>
  <c r="AQ67" i="13"/>
  <c r="AQ68" i="13"/>
  <c r="AQ69" i="13"/>
  <c r="AQ70" i="13"/>
  <c r="AQ71" i="13"/>
  <c r="AQ72" i="13"/>
  <c r="AQ73" i="13"/>
  <c r="AQ74" i="13"/>
  <c r="AQ75" i="13"/>
  <c r="AQ76" i="13"/>
  <c r="AQ77" i="13"/>
  <c r="AQ78" i="13"/>
  <c r="AQ79" i="13"/>
  <c r="AQ80" i="13"/>
  <c r="AQ81" i="13"/>
  <c r="AQ82" i="13"/>
  <c r="AQ83" i="13"/>
  <c r="AQ84" i="13"/>
  <c r="AQ85" i="13"/>
  <c r="AQ86" i="13"/>
  <c r="AQ87" i="13"/>
  <c r="AQ88" i="13"/>
  <c r="AQ89" i="13"/>
  <c r="AQ90" i="13"/>
  <c r="AQ91" i="13"/>
  <c r="AQ92" i="13"/>
  <c r="AQ93" i="13"/>
  <c r="AQ94" i="13"/>
  <c r="AQ95" i="13"/>
  <c r="AQ96" i="13"/>
  <c r="AQ97" i="13"/>
  <c r="AQ98" i="13"/>
  <c r="AQ99" i="13"/>
  <c r="AQ100" i="13"/>
  <c r="AQ101" i="13"/>
  <c r="AQ102" i="13"/>
  <c r="AQ103" i="13"/>
  <c r="AQ104" i="13"/>
  <c r="AQ105" i="13"/>
  <c r="AQ106" i="13"/>
  <c r="AQ107" i="13"/>
  <c r="AQ108" i="13"/>
  <c r="AQ109" i="13"/>
  <c r="AQ110" i="13"/>
  <c r="AQ111" i="13"/>
  <c r="AQ112" i="13"/>
  <c r="AQ113" i="13"/>
  <c r="AQ114" i="13"/>
  <c r="AQ115" i="13"/>
  <c r="AQ116" i="13"/>
  <c r="AQ117" i="13"/>
  <c r="AQ118" i="13"/>
  <c r="AQ119" i="13"/>
  <c r="AQ120" i="13"/>
  <c r="AQ121" i="13"/>
  <c r="AQ122" i="13"/>
  <c r="AQ123" i="13"/>
  <c r="AQ124" i="13"/>
  <c r="AQ125" i="13"/>
  <c r="AQ126" i="13"/>
  <c r="AQ127" i="13"/>
  <c r="AQ128" i="13"/>
  <c r="AQ129" i="13"/>
  <c r="AQ130" i="13"/>
  <c r="AQ131" i="13"/>
  <c r="AQ132" i="13"/>
  <c r="AQ133" i="13"/>
  <c r="AQ134" i="13"/>
  <c r="AQ135" i="13"/>
  <c r="AQ136" i="13"/>
  <c r="AQ137" i="13"/>
  <c r="AQ138" i="13"/>
  <c r="AQ139" i="13"/>
  <c r="AQ140" i="13"/>
  <c r="AQ141" i="13"/>
  <c r="AQ142" i="13"/>
  <c r="AQ143" i="13"/>
  <c r="AQ144" i="13"/>
  <c r="AQ145" i="13"/>
  <c r="AQ146" i="13"/>
  <c r="AQ147" i="13"/>
  <c r="AQ148" i="13"/>
  <c r="AQ149" i="13"/>
  <c r="AQ150" i="13"/>
  <c r="AQ151" i="13"/>
  <c r="AQ152" i="13"/>
  <c r="AQ153" i="13"/>
  <c r="AQ154" i="13"/>
  <c r="AQ155" i="13"/>
  <c r="AQ156" i="13"/>
  <c r="AQ157" i="13"/>
  <c r="AQ158" i="13"/>
  <c r="AQ159" i="13"/>
  <c r="AQ160" i="13"/>
  <c r="AQ161" i="13"/>
  <c r="AQ162" i="13"/>
  <c r="AQ163" i="13"/>
  <c r="AQ164" i="13"/>
  <c r="AQ165" i="13"/>
  <c r="AQ166" i="13"/>
  <c r="AQ167" i="13"/>
  <c r="AQ168" i="13"/>
  <c r="AQ169" i="13"/>
  <c r="AQ170" i="13"/>
  <c r="AQ171" i="13"/>
  <c r="AQ172" i="13"/>
  <c r="AQ173" i="13"/>
  <c r="AQ174" i="13"/>
  <c r="AQ175" i="13"/>
  <c r="AQ176" i="13"/>
  <c r="AQ177" i="13"/>
  <c r="AQ178" i="13"/>
  <c r="AQ179" i="13"/>
  <c r="AQ180" i="13"/>
  <c r="AQ181" i="13"/>
  <c r="AQ182" i="13"/>
  <c r="AQ183" i="13"/>
  <c r="AQ184" i="13"/>
  <c r="AQ185" i="13"/>
  <c r="AQ186" i="13"/>
  <c r="AQ187" i="13"/>
  <c r="R21" i="13"/>
  <c r="R20" i="13"/>
  <c r="AE120" i="1"/>
  <c r="AE3" i="1"/>
  <c r="AO4" i="13" l="1"/>
  <c r="AO5" i="13"/>
  <c r="AO6" i="13"/>
  <c r="AO7" i="13"/>
  <c r="AO8" i="13"/>
  <c r="AO9" i="13"/>
  <c r="AO10" i="13"/>
  <c r="AO11" i="13"/>
  <c r="AO12" i="13"/>
  <c r="AO13" i="13"/>
  <c r="AO14" i="13"/>
  <c r="AO15" i="13"/>
  <c r="AO16" i="13"/>
  <c r="AO17" i="13"/>
  <c r="AO18" i="13"/>
  <c r="AO19" i="13"/>
  <c r="AO20" i="13"/>
  <c r="AO21" i="13"/>
  <c r="AO22" i="13"/>
  <c r="AO23" i="13"/>
  <c r="AO24" i="13"/>
  <c r="AO25" i="13"/>
  <c r="AO26" i="13"/>
  <c r="AO27" i="13"/>
  <c r="AO28" i="13"/>
  <c r="AO29" i="13"/>
  <c r="AO30" i="13"/>
  <c r="AO31" i="13"/>
  <c r="AO32" i="13"/>
  <c r="AO33" i="13"/>
  <c r="AO34" i="13"/>
  <c r="AO35" i="13"/>
  <c r="AO36" i="13"/>
  <c r="AO37" i="13"/>
  <c r="AO38" i="13"/>
  <c r="AO39" i="13"/>
  <c r="AO40" i="13"/>
  <c r="AO41" i="13"/>
  <c r="AO42" i="13"/>
  <c r="AO43" i="13"/>
  <c r="AO44" i="13"/>
  <c r="AO45" i="13"/>
  <c r="AO46" i="13"/>
  <c r="AO47" i="13"/>
  <c r="AO48" i="13"/>
  <c r="AO49" i="13"/>
  <c r="AO50" i="13"/>
  <c r="AO51" i="13"/>
  <c r="AO52" i="13"/>
  <c r="AO53" i="13"/>
  <c r="AO54" i="13"/>
  <c r="AO55" i="13"/>
  <c r="AO56" i="13"/>
  <c r="AO57" i="13"/>
  <c r="AO58" i="13"/>
  <c r="AO59" i="13"/>
  <c r="AO60" i="13"/>
  <c r="AO61" i="13"/>
  <c r="AO62" i="13"/>
  <c r="AO63" i="13"/>
  <c r="AO64" i="13"/>
  <c r="AO65" i="13"/>
  <c r="AO66" i="13"/>
  <c r="AO67" i="13"/>
  <c r="AO68" i="13"/>
  <c r="AO69" i="13"/>
  <c r="AO70" i="13"/>
  <c r="AO71" i="13"/>
  <c r="AO72" i="13"/>
  <c r="AO73" i="13"/>
  <c r="AO74" i="13"/>
  <c r="AO75" i="13"/>
  <c r="AO76" i="13"/>
  <c r="AO77" i="13"/>
  <c r="AO78" i="13"/>
  <c r="AO79" i="13"/>
  <c r="AO80" i="13"/>
  <c r="AO81" i="13"/>
  <c r="AO82" i="13"/>
  <c r="AO83" i="13"/>
  <c r="AO84" i="13"/>
  <c r="AO85" i="13"/>
  <c r="AO86" i="13"/>
  <c r="AO87" i="13"/>
  <c r="AO88" i="13"/>
  <c r="AO89" i="13"/>
  <c r="AO90" i="13"/>
  <c r="AO91" i="13"/>
  <c r="AO92" i="13"/>
  <c r="AO93" i="13"/>
  <c r="AO94" i="13"/>
  <c r="AO95" i="13"/>
  <c r="AO96" i="13"/>
  <c r="AO97" i="13"/>
  <c r="AO98" i="13"/>
  <c r="AO99" i="13"/>
  <c r="AO100" i="13"/>
  <c r="AO101" i="13"/>
  <c r="AO102" i="13"/>
  <c r="AO103" i="13"/>
  <c r="AO104" i="13"/>
  <c r="AO105" i="13"/>
  <c r="AO106" i="13"/>
  <c r="AO107" i="13"/>
  <c r="AO108" i="13"/>
  <c r="AO109" i="13"/>
  <c r="AO110" i="13"/>
  <c r="AO111" i="13"/>
  <c r="AO112" i="13"/>
  <c r="AO113" i="13"/>
  <c r="AO114" i="13"/>
  <c r="AO115" i="13"/>
  <c r="AO116" i="13"/>
  <c r="AO117" i="13"/>
  <c r="AO118" i="13"/>
  <c r="AO119" i="13"/>
  <c r="AO120" i="13"/>
  <c r="AO121" i="13"/>
  <c r="AO122" i="13"/>
  <c r="AO123" i="13"/>
  <c r="AO124" i="13"/>
  <c r="AO125" i="13"/>
  <c r="AO126" i="13"/>
  <c r="AO127" i="13"/>
  <c r="AO128" i="13"/>
  <c r="AO129" i="13"/>
  <c r="AO130" i="13"/>
  <c r="AO131" i="13"/>
  <c r="AO132" i="13"/>
  <c r="AO133" i="13"/>
  <c r="AO134" i="13"/>
  <c r="AO135" i="13"/>
  <c r="AO136" i="13"/>
  <c r="AO137" i="13"/>
  <c r="AO138" i="13"/>
  <c r="AO139" i="13"/>
  <c r="AO140" i="13"/>
  <c r="AO141" i="13"/>
  <c r="AO142" i="13"/>
  <c r="AO143" i="13"/>
  <c r="AO144" i="13"/>
  <c r="AO145" i="13"/>
  <c r="AO146" i="13"/>
  <c r="AO147" i="13"/>
  <c r="AO148" i="13"/>
  <c r="AO149" i="13"/>
  <c r="AO150" i="13"/>
  <c r="AO151" i="13"/>
  <c r="AO152" i="13"/>
  <c r="AO153" i="13"/>
  <c r="AO154" i="13"/>
  <c r="AO155" i="13"/>
  <c r="AO156" i="13"/>
  <c r="AO157" i="13"/>
  <c r="AO158" i="13"/>
  <c r="AO159" i="13"/>
  <c r="AO160" i="13"/>
  <c r="AO161" i="13"/>
  <c r="AO162" i="13"/>
  <c r="AO163" i="13"/>
  <c r="AO164" i="13"/>
  <c r="AO165" i="13"/>
  <c r="AO166" i="13"/>
  <c r="AO167" i="13"/>
  <c r="AO168" i="13"/>
  <c r="AO169" i="13"/>
  <c r="AO170" i="13"/>
  <c r="AO171" i="13"/>
  <c r="AO172" i="13"/>
  <c r="AO173" i="13"/>
  <c r="AO174" i="13"/>
  <c r="AO175" i="13"/>
  <c r="AO176" i="13"/>
  <c r="AO177" i="13"/>
  <c r="AO178" i="13"/>
  <c r="AO179" i="13"/>
  <c r="AO180" i="13"/>
  <c r="AO181" i="13"/>
  <c r="AO182" i="13"/>
  <c r="AO183" i="13"/>
  <c r="AO184" i="13"/>
  <c r="AO185" i="13"/>
  <c r="AO186" i="13"/>
  <c r="AO187" i="13"/>
  <c r="AO3" i="13"/>
  <c r="AN4" i="13"/>
  <c r="AN5" i="13"/>
  <c r="AN6" i="13"/>
  <c r="AN7" i="13"/>
  <c r="AN8" i="13"/>
  <c r="AN9" i="13"/>
  <c r="AN10" i="13"/>
  <c r="AN11" i="13"/>
  <c r="AN12" i="13"/>
  <c r="AN13" i="13"/>
  <c r="AN14" i="13"/>
  <c r="AN15" i="13"/>
  <c r="AN16" i="13"/>
  <c r="AN17" i="13"/>
  <c r="AN18" i="13"/>
  <c r="AN19" i="13"/>
  <c r="AN20" i="13"/>
  <c r="AN21" i="13"/>
  <c r="AN22" i="13"/>
  <c r="AN23" i="13"/>
  <c r="AN24" i="13"/>
  <c r="AN25" i="13"/>
  <c r="AN26" i="13"/>
  <c r="AN27" i="13"/>
  <c r="AN28" i="13"/>
  <c r="AN29" i="13"/>
  <c r="AN30" i="13"/>
  <c r="AN31" i="13"/>
  <c r="AN32" i="13"/>
  <c r="AN33" i="13"/>
  <c r="AN34" i="13"/>
  <c r="AN35" i="13"/>
  <c r="AN36" i="13"/>
  <c r="AN37" i="13"/>
  <c r="AN38" i="13"/>
  <c r="AN39" i="13"/>
  <c r="AN40" i="13"/>
  <c r="AN41" i="13"/>
  <c r="AN42" i="13"/>
  <c r="AN43" i="13"/>
  <c r="AN44" i="13"/>
  <c r="AN45" i="13"/>
  <c r="AN46" i="13"/>
  <c r="AN47" i="13"/>
  <c r="AN48" i="13"/>
  <c r="AN49" i="13"/>
  <c r="AN50" i="13"/>
  <c r="AN51" i="13"/>
  <c r="AN52" i="13"/>
  <c r="AN53" i="13"/>
  <c r="AN54" i="13"/>
  <c r="AN55" i="13"/>
  <c r="AN56" i="13"/>
  <c r="AN57" i="13"/>
  <c r="AN58" i="13"/>
  <c r="AN59" i="13"/>
  <c r="AN60" i="13"/>
  <c r="AN61" i="13"/>
  <c r="AN62" i="13"/>
  <c r="AN63" i="13"/>
  <c r="AN64" i="13"/>
  <c r="AN65" i="13"/>
  <c r="AN66" i="13"/>
  <c r="AN67" i="13"/>
  <c r="AN68" i="13"/>
  <c r="AN69" i="13"/>
  <c r="AN70" i="13"/>
  <c r="AN71" i="13"/>
  <c r="AN72" i="13"/>
  <c r="AN73" i="13"/>
  <c r="AN74" i="13"/>
  <c r="AN75" i="13"/>
  <c r="AN76" i="13"/>
  <c r="AN77" i="13"/>
  <c r="AN78" i="13"/>
  <c r="AN79" i="13"/>
  <c r="AN80" i="13"/>
  <c r="AN81" i="13"/>
  <c r="AN82" i="13"/>
  <c r="AN83" i="13"/>
  <c r="AN84" i="13"/>
  <c r="AN85" i="13"/>
  <c r="AN86" i="13"/>
  <c r="AN87" i="13"/>
  <c r="AN88" i="13"/>
  <c r="AN89" i="13"/>
  <c r="AN90" i="13"/>
  <c r="AN91" i="13"/>
  <c r="AN92" i="13"/>
  <c r="AN93" i="13"/>
  <c r="AN94" i="13"/>
  <c r="AN95" i="13"/>
  <c r="AN96" i="13"/>
  <c r="AN97" i="13"/>
  <c r="AN98" i="13"/>
  <c r="AN99" i="13"/>
  <c r="AN100" i="13"/>
  <c r="AN101" i="13"/>
  <c r="AN102" i="13"/>
  <c r="AN103" i="13"/>
  <c r="AN104" i="13"/>
  <c r="AN105" i="13"/>
  <c r="AN106" i="13"/>
  <c r="AN107" i="13"/>
  <c r="AN108" i="13"/>
  <c r="AN109" i="13"/>
  <c r="AN110" i="13"/>
  <c r="AN111" i="13"/>
  <c r="AN112" i="13"/>
  <c r="AN113" i="13"/>
  <c r="AN114" i="13"/>
  <c r="AN115" i="13"/>
  <c r="AN116" i="13"/>
  <c r="AN117" i="13"/>
  <c r="AN118" i="13"/>
  <c r="AN119" i="13"/>
  <c r="AN120" i="13"/>
  <c r="AN121" i="13"/>
  <c r="AN122" i="13"/>
  <c r="AN123" i="13"/>
  <c r="AN124" i="13"/>
  <c r="AN125" i="13"/>
  <c r="AN126" i="13"/>
  <c r="AN127" i="13"/>
  <c r="AN128" i="13"/>
  <c r="AN129" i="13"/>
  <c r="AN130" i="13"/>
  <c r="AN131" i="13"/>
  <c r="AN132" i="13"/>
  <c r="AN133" i="13"/>
  <c r="AN134" i="13"/>
  <c r="AN135" i="13"/>
  <c r="AN136" i="13"/>
  <c r="AN137" i="13"/>
  <c r="AN138" i="13"/>
  <c r="AN139" i="13"/>
  <c r="AN140" i="13"/>
  <c r="AN141" i="13"/>
  <c r="AN142" i="13"/>
  <c r="AN143" i="13"/>
  <c r="AN144" i="13"/>
  <c r="AN145" i="13"/>
  <c r="AN146" i="13"/>
  <c r="AN147" i="13"/>
  <c r="AN148" i="13"/>
  <c r="AN149" i="13"/>
  <c r="AN150" i="13"/>
  <c r="AN151" i="13"/>
  <c r="AN152" i="13"/>
  <c r="AN153" i="13"/>
  <c r="AN154" i="13"/>
  <c r="AN155" i="13"/>
  <c r="AN156" i="13"/>
  <c r="AN157" i="13"/>
  <c r="AN158" i="13"/>
  <c r="AN159" i="13"/>
  <c r="AN160" i="13"/>
  <c r="AN161" i="13"/>
  <c r="AN162" i="13"/>
  <c r="AN163" i="13"/>
  <c r="AN164" i="13"/>
  <c r="AN165" i="13"/>
  <c r="AN166" i="13"/>
  <c r="AN167" i="13"/>
  <c r="AN168" i="13"/>
  <c r="AN169" i="13"/>
  <c r="AN170" i="13"/>
  <c r="AN171" i="13"/>
  <c r="AN172" i="13"/>
  <c r="AN173" i="13"/>
  <c r="AN174" i="13"/>
  <c r="AN175" i="13"/>
  <c r="AN176" i="13"/>
  <c r="AN177" i="13"/>
  <c r="AN178" i="13"/>
  <c r="AN179" i="13"/>
  <c r="AN180" i="13"/>
  <c r="AN181" i="13"/>
  <c r="AN182" i="13"/>
  <c r="AN183" i="13"/>
  <c r="AN184" i="13"/>
  <c r="AN185" i="13"/>
  <c r="AN186" i="13"/>
  <c r="AN187" i="13"/>
  <c r="AN3" i="13"/>
  <c r="AM4" i="13"/>
  <c r="AM5" i="13"/>
  <c r="AM6" i="13"/>
  <c r="AM7" i="13"/>
  <c r="AM8" i="13"/>
  <c r="AM9" i="13"/>
  <c r="AM10" i="13"/>
  <c r="AM11" i="13"/>
  <c r="AM12" i="13"/>
  <c r="AM13" i="13"/>
  <c r="AM14" i="13"/>
  <c r="AM15" i="13"/>
  <c r="AM16" i="13"/>
  <c r="AM17" i="13"/>
  <c r="AM18" i="13"/>
  <c r="AM19" i="13"/>
  <c r="AM20" i="13"/>
  <c r="AM21" i="13"/>
  <c r="AM22" i="13"/>
  <c r="AM23" i="13"/>
  <c r="AM24" i="13"/>
  <c r="AM25" i="13"/>
  <c r="AM26" i="13"/>
  <c r="AM27" i="13"/>
  <c r="AM28" i="13"/>
  <c r="AM29" i="13"/>
  <c r="AM30" i="13"/>
  <c r="AM31" i="13"/>
  <c r="AM32" i="13"/>
  <c r="AM33" i="13"/>
  <c r="AM34" i="13"/>
  <c r="AM35" i="13"/>
  <c r="AM36" i="13"/>
  <c r="AM37" i="13"/>
  <c r="AM38" i="13"/>
  <c r="AM39" i="13"/>
  <c r="AM40" i="13"/>
  <c r="AM41" i="13"/>
  <c r="AM42" i="13"/>
  <c r="AM43" i="13"/>
  <c r="AM44" i="13"/>
  <c r="AM45" i="13"/>
  <c r="AM46" i="13"/>
  <c r="AM47" i="13"/>
  <c r="AM48" i="13"/>
  <c r="AM49" i="13"/>
  <c r="AM50" i="13"/>
  <c r="AM51" i="13"/>
  <c r="AM52" i="13"/>
  <c r="AM53" i="13"/>
  <c r="AM54" i="13"/>
  <c r="AM55" i="13"/>
  <c r="AM56" i="13"/>
  <c r="AM57" i="13"/>
  <c r="AM58" i="13"/>
  <c r="AM59" i="13"/>
  <c r="AM60" i="13"/>
  <c r="AM61" i="13"/>
  <c r="AM62" i="13"/>
  <c r="AM63" i="13"/>
  <c r="AM64" i="13"/>
  <c r="AM65" i="13"/>
  <c r="AM66" i="13"/>
  <c r="AM67" i="13"/>
  <c r="AM68" i="13"/>
  <c r="AM69" i="13"/>
  <c r="AM70" i="13"/>
  <c r="AM71" i="13"/>
  <c r="AM72" i="13"/>
  <c r="AM73" i="13"/>
  <c r="AM74" i="13"/>
  <c r="AM75" i="13"/>
  <c r="AM76" i="13"/>
  <c r="AM77" i="13"/>
  <c r="AM78" i="13"/>
  <c r="AM79" i="13"/>
  <c r="AM80" i="13"/>
  <c r="AM81" i="13"/>
  <c r="AM82" i="13"/>
  <c r="AM83" i="13"/>
  <c r="AM84" i="13"/>
  <c r="AM85" i="13"/>
  <c r="AM86" i="13"/>
  <c r="AM87" i="13"/>
  <c r="AM88" i="13"/>
  <c r="AM89" i="13"/>
  <c r="AM90" i="13"/>
  <c r="AM91" i="13"/>
  <c r="AM92" i="13"/>
  <c r="AM93" i="13"/>
  <c r="AM94" i="13"/>
  <c r="AM95" i="13"/>
  <c r="AM96" i="13"/>
  <c r="AM97" i="13"/>
  <c r="AM98" i="13"/>
  <c r="AM99" i="13"/>
  <c r="AM100" i="13"/>
  <c r="AM101" i="13"/>
  <c r="AM102" i="13"/>
  <c r="AM103" i="13"/>
  <c r="AM104" i="13"/>
  <c r="AM105" i="13"/>
  <c r="AM106" i="13"/>
  <c r="AM107" i="13"/>
  <c r="AM108" i="13"/>
  <c r="AM109" i="13"/>
  <c r="AM110" i="13"/>
  <c r="AM111" i="13"/>
  <c r="AM112" i="13"/>
  <c r="AM113" i="13"/>
  <c r="AM114" i="13"/>
  <c r="AM115" i="13"/>
  <c r="AM116" i="13"/>
  <c r="AM117" i="13"/>
  <c r="AM118" i="13"/>
  <c r="AM119" i="13"/>
  <c r="AM120" i="13"/>
  <c r="AM121" i="13"/>
  <c r="AM122" i="13"/>
  <c r="AM123" i="13"/>
  <c r="AM124" i="13"/>
  <c r="AM125" i="13"/>
  <c r="AM126" i="13"/>
  <c r="AM127" i="13"/>
  <c r="AM128" i="13"/>
  <c r="AM129" i="13"/>
  <c r="AM130" i="13"/>
  <c r="AM131" i="13"/>
  <c r="AM132" i="13"/>
  <c r="AM133" i="13"/>
  <c r="AM134" i="13"/>
  <c r="AM135" i="13"/>
  <c r="AM136" i="13"/>
  <c r="AM137" i="13"/>
  <c r="AM138" i="13"/>
  <c r="AM139" i="13"/>
  <c r="AM140" i="13"/>
  <c r="AM141" i="13"/>
  <c r="AM142" i="13"/>
  <c r="AM143" i="13"/>
  <c r="AM144" i="13"/>
  <c r="AM145" i="13"/>
  <c r="AM146" i="13"/>
  <c r="AM147" i="13"/>
  <c r="AM148" i="13"/>
  <c r="AM149" i="13"/>
  <c r="AM150" i="13"/>
  <c r="AM151" i="13"/>
  <c r="AM152" i="13"/>
  <c r="AM153" i="13"/>
  <c r="AM154" i="13"/>
  <c r="AM155" i="13"/>
  <c r="AM156" i="13"/>
  <c r="AM157" i="13"/>
  <c r="AM158" i="13"/>
  <c r="AM159" i="13"/>
  <c r="AM160" i="13"/>
  <c r="AM161" i="13"/>
  <c r="AM162" i="13"/>
  <c r="AM163" i="13"/>
  <c r="AM164" i="13"/>
  <c r="AM165" i="13"/>
  <c r="AM166" i="13"/>
  <c r="AM167" i="13"/>
  <c r="AM168" i="13"/>
  <c r="AM169" i="13"/>
  <c r="AM170" i="13"/>
  <c r="AM171" i="13"/>
  <c r="AM172" i="13"/>
  <c r="AM173" i="13"/>
  <c r="AM174" i="13"/>
  <c r="AM175" i="13"/>
  <c r="AM176" i="13"/>
  <c r="AM177" i="13"/>
  <c r="AM178" i="13"/>
  <c r="AM179" i="13"/>
  <c r="AM180" i="13"/>
  <c r="AM181" i="13"/>
  <c r="AM182" i="13"/>
  <c r="AM183" i="13"/>
  <c r="AM184" i="13"/>
  <c r="AM185" i="13"/>
  <c r="AM186" i="13"/>
  <c r="AM187" i="13"/>
  <c r="AM3" i="13"/>
  <c r="AL4" i="13"/>
  <c r="AL5" i="13"/>
  <c r="AL6" i="13"/>
  <c r="AL7" i="13"/>
  <c r="AL8" i="13"/>
  <c r="AL9" i="13"/>
  <c r="AL10" i="13"/>
  <c r="AL11" i="13"/>
  <c r="AL12" i="13"/>
  <c r="AL13" i="13"/>
  <c r="AL14" i="13"/>
  <c r="AL15" i="13"/>
  <c r="AL16" i="13"/>
  <c r="AL17" i="13"/>
  <c r="AL18" i="13"/>
  <c r="AL19" i="13"/>
  <c r="AL20" i="13"/>
  <c r="AL21" i="13"/>
  <c r="AL22" i="13"/>
  <c r="AL23" i="13"/>
  <c r="AL24" i="13"/>
  <c r="AL25" i="13"/>
  <c r="AL26" i="13"/>
  <c r="AL27" i="13"/>
  <c r="AL28" i="13"/>
  <c r="AL29" i="13"/>
  <c r="AL30" i="13"/>
  <c r="AL31" i="13"/>
  <c r="AL32" i="13"/>
  <c r="AL33" i="13"/>
  <c r="AL34" i="13"/>
  <c r="AL35" i="13"/>
  <c r="AL36" i="13"/>
  <c r="AL37" i="13"/>
  <c r="AL38" i="13"/>
  <c r="AL39" i="13"/>
  <c r="AL40" i="13"/>
  <c r="AL41" i="13"/>
  <c r="AL42" i="13"/>
  <c r="AL43" i="13"/>
  <c r="AL44" i="13"/>
  <c r="AL45" i="13"/>
  <c r="AL46" i="13"/>
  <c r="AL47" i="13"/>
  <c r="AL48" i="13"/>
  <c r="AL49" i="13"/>
  <c r="AL50" i="13"/>
  <c r="AL51" i="13"/>
  <c r="AL52" i="13"/>
  <c r="AL53" i="13"/>
  <c r="AL54" i="13"/>
  <c r="AL55" i="13"/>
  <c r="AL56" i="13"/>
  <c r="AL57" i="13"/>
  <c r="AL58" i="13"/>
  <c r="AL59" i="13"/>
  <c r="AL60" i="13"/>
  <c r="AL61" i="13"/>
  <c r="AL62" i="13"/>
  <c r="AL63" i="13"/>
  <c r="AL64" i="13"/>
  <c r="AL65" i="13"/>
  <c r="AL66" i="13"/>
  <c r="AL67" i="13"/>
  <c r="AL68" i="13"/>
  <c r="AL69" i="13"/>
  <c r="AL70" i="13"/>
  <c r="AL71" i="13"/>
  <c r="AL72" i="13"/>
  <c r="AL73" i="13"/>
  <c r="AL74" i="13"/>
  <c r="AL75" i="13"/>
  <c r="AL76" i="13"/>
  <c r="AL77" i="13"/>
  <c r="AL78" i="13"/>
  <c r="AL79" i="13"/>
  <c r="AL80" i="13"/>
  <c r="AL81" i="13"/>
  <c r="AL82" i="13"/>
  <c r="AL83" i="13"/>
  <c r="AL84" i="13"/>
  <c r="AL85" i="13"/>
  <c r="AL86" i="13"/>
  <c r="AL87" i="13"/>
  <c r="AL88" i="13"/>
  <c r="AL89" i="13"/>
  <c r="AL90" i="13"/>
  <c r="AL91" i="13"/>
  <c r="AL92" i="13"/>
  <c r="AL93" i="13"/>
  <c r="AL94" i="13"/>
  <c r="AL95" i="13"/>
  <c r="AL96" i="13"/>
  <c r="AL97" i="13"/>
  <c r="AL98" i="13"/>
  <c r="AL99" i="13"/>
  <c r="AL100" i="13"/>
  <c r="AL101" i="13"/>
  <c r="AL102" i="13"/>
  <c r="AL103" i="13"/>
  <c r="AL104" i="13"/>
  <c r="AL105" i="13"/>
  <c r="AL106" i="13"/>
  <c r="AL107" i="13"/>
  <c r="AL108" i="13"/>
  <c r="AL109" i="13"/>
  <c r="AL110" i="13"/>
  <c r="AL111" i="13"/>
  <c r="AL112" i="13"/>
  <c r="AL113" i="13"/>
  <c r="AL114" i="13"/>
  <c r="AL115" i="13"/>
  <c r="AL116" i="13"/>
  <c r="AL117" i="13"/>
  <c r="AL118" i="13"/>
  <c r="AL119" i="13"/>
  <c r="AL120" i="13"/>
  <c r="AL121" i="13"/>
  <c r="AL122" i="13"/>
  <c r="AL123" i="13"/>
  <c r="AL124" i="13"/>
  <c r="AL125" i="13"/>
  <c r="AL126" i="13"/>
  <c r="AL127" i="13"/>
  <c r="AL128" i="13"/>
  <c r="AL129" i="13"/>
  <c r="AL130" i="13"/>
  <c r="AL131" i="13"/>
  <c r="AL132" i="13"/>
  <c r="AL133" i="13"/>
  <c r="AL134" i="13"/>
  <c r="AL135" i="13"/>
  <c r="AL136" i="13"/>
  <c r="AL137" i="13"/>
  <c r="AL138" i="13"/>
  <c r="AL139" i="13"/>
  <c r="AL140" i="13"/>
  <c r="AL141" i="13"/>
  <c r="AL142" i="13"/>
  <c r="AL143" i="13"/>
  <c r="AL144" i="13"/>
  <c r="AL145" i="13"/>
  <c r="AL146" i="13"/>
  <c r="AL147" i="13"/>
  <c r="AL148" i="13"/>
  <c r="AL149" i="13"/>
  <c r="AL150" i="13"/>
  <c r="AL151" i="13"/>
  <c r="AL152" i="13"/>
  <c r="AL153" i="13"/>
  <c r="AL154" i="13"/>
  <c r="AL155" i="13"/>
  <c r="AL156" i="13"/>
  <c r="AL157" i="13"/>
  <c r="AL158" i="13"/>
  <c r="AL159" i="13"/>
  <c r="AL160" i="13"/>
  <c r="AL161" i="13"/>
  <c r="AL162" i="13"/>
  <c r="AL163" i="13"/>
  <c r="AL164" i="13"/>
  <c r="AL165" i="13"/>
  <c r="AL166" i="13"/>
  <c r="AL167" i="13"/>
  <c r="AL168" i="13"/>
  <c r="AL169" i="13"/>
  <c r="AL170" i="13"/>
  <c r="AL171" i="13"/>
  <c r="AL172" i="13"/>
  <c r="AL173" i="13"/>
  <c r="AL174" i="13"/>
  <c r="AL175" i="13"/>
  <c r="AL176" i="13"/>
  <c r="AL177" i="13"/>
  <c r="AL178" i="13"/>
  <c r="AL179" i="13"/>
  <c r="AL180" i="13"/>
  <c r="AL181" i="13"/>
  <c r="AL182" i="13"/>
  <c r="AL183" i="13"/>
  <c r="AL184" i="13"/>
  <c r="AL185" i="13"/>
  <c r="AL186" i="13"/>
  <c r="AL187" i="13"/>
  <c r="AL3" i="13"/>
  <c r="AK4" i="13"/>
  <c r="AK5" i="13"/>
  <c r="AK6" i="13"/>
  <c r="AK7" i="13"/>
  <c r="AK8" i="13"/>
  <c r="AK9" i="13"/>
  <c r="AK10" i="13"/>
  <c r="AK11" i="13"/>
  <c r="AK12" i="13"/>
  <c r="AK13" i="13"/>
  <c r="AK14" i="13"/>
  <c r="AK15" i="13"/>
  <c r="AK16" i="13"/>
  <c r="AK17" i="13"/>
  <c r="AK18" i="13"/>
  <c r="AK19" i="13"/>
  <c r="AK20" i="13"/>
  <c r="AK21" i="13"/>
  <c r="AK22" i="13"/>
  <c r="AK23" i="13"/>
  <c r="AK24" i="13"/>
  <c r="AK25" i="13"/>
  <c r="AK26" i="13"/>
  <c r="AK27" i="13"/>
  <c r="AK28" i="13"/>
  <c r="AK29" i="13"/>
  <c r="AK30" i="13"/>
  <c r="AK31" i="13"/>
  <c r="AK32" i="13"/>
  <c r="AK33" i="13"/>
  <c r="AK34" i="13"/>
  <c r="AK35" i="13"/>
  <c r="AK36" i="13"/>
  <c r="AK37" i="13"/>
  <c r="AK38" i="13"/>
  <c r="AK39" i="13"/>
  <c r="AK40" i="13"/>
  <c r="AK41" i="13"/>
  <c r="AK42" i="13"/>
  <c r="AK43" i="13"/>
  <c r="AK44" i="13"/>
  <c r="AK45" i="13"/>
  <c r="AK46" i="13"/>
  <c r="AK47" i="13"/>
  <c r="AK48" i="13"/>
  <c r="AK49" i="13"/>
  <c r="AK50" i="13"/>
  <c r="AK51" i="13"/>
  <c r="AK52" i="13"/>
  <c r="AK53" i="13"/>
  <c r="AK54" i="13"/>
  <c r="AK55" i="13"/>
  <c r="AK56" i="13"/>
  <c r="AK57" i="13"/>
  <c r="AK58" i="13"/>
  <c r="AK59" i="13"/>
  <c r="AK60" i="13"/>
  <c r="AK61" i="13"/>
  <c r="AK62" i="13"/>
  <c r="AK63" i="13"/>
  <c r="AK64" i="13"/>
  <c r="AK65" i="13"/>
  <c r="AK66" i="13"/>
  <c r="AK67" i="13"/>
  <c r="AK68" i="13"/>
  <c r="AK69" i="13"/>
  <c r="AK70" i="13"/>
  <c r="AK71" i="13"/>
  <c r="AK72" i="13"/>
  <c r="AK73" i="13"/>
  <c r="AK74" i="13"/>
  <c r="AK75" i="13"/>
  <c r="AK76" i="13"/>
  <c r="AK77" i="13"/>
  <c r="AK78" i="13"/>
  <c r="AK79" i="13"/>
  <c r="AK80" i="13"/>
  <c r="AK81" i="13"/>
  <c r="AK82" i="13"/>
  <c r="AK83" i="13"/>
  <c r="AK84" i="13"/>
  <c r="AK85" i="13"/>
  <c r="AK86" i="13"/>
  <c r="AK87" i="13"/>
  <c r="AK88" i="13"/>
  <c r="AK89" i="13"/>
  <c r="AK90" i="13"/>
  <c r="AK91" i="13"/>
  <c r="AK92" i="13"/>
  <c r="AK93" i="13"/>
  <c r="AK94" i="13"/>
  <c r="AK95" i="13"/>
  <c r="AK96" i="13"/>
  <c r="AK97" i="13"/>
  <c r="AK98" i="13"/>
  <c r="AK99" i="13"/>
  <c r="AK100" i="13"/>
  <c r="AK101" i="13"/>
  <c r="AK102" i="13"/>
  <c r="AK103" i="13"/>
  <c r="AK104" i="13"/>
  <c r="AK105" i="13"/>
  <c r="AK106" i="13"/>
  <c r="AK107" i="13"/>
  <c r="AK108" i="13"/>
  <c r="AK109" i="13"/>
  <c r="AK110" i="13"/>
  <c r="AK111" i="13"/>
  <c r="AK112" i="13"/>
  <c r="AK113" i="13"/>
  <c r="AK114" i="13"/>
  <c r="AK115" i="13"/>
  <c r="AK116" i="13"/>
  <c r="AK117" i="13"/>
  <c r="AK118" i="13"/>
  <c r="AK119" i="13"/>
  <c r="AK120" i="13"/>
  <c r="AK121" i="13"/>
  <c r="AK122" i="13"/>
  <c r="AK123" i="13"/>
  <c r="AK124" i="13"/>
  <c r="AK125" i="13"/>
  <c r="AK126" i="13"/>
  <c r="AK127" i="13"/>
  <c r="AK128" i="13"/>
  <c r="AK129" i="13"/>
  <c r="AK130" i="13"/>
  <c r="AK131" i="13"/>
  <c r="AK132" i="13"/>
  <c r="AK133" i="13"/>
  <c r="AK134" i="13"/>
  <c r="AK135" i="13"/>
  <c r="AK136" i="13"/>
  <c r="AK137" i="13"/>
  <c r="AK138" i="13"/>
  <c r="AK139" i="13"/>
  <c r="AK140" i="13"/>
  <c r="AK141" i="13"/>
  <c r="AK142" i="13"/>
  <c r="AK143" i="13"/>
  <c r="AK144" i="13"/>
  <c r="AK145" i="13"/>
  <c r="AK146" i="13"/>
  <c r="AK147" i="13"/>
  <c r="AK148" i="13"/>
  <c r="AK149" i="13"/>
  <c r="AK150" i="13"/>
  <c r="AK151" i="13"/>
  <c r="AK152" i="13"/>
  <c r="AK153" i="13"/>
  <c r="AK154" i="13"/>
  <c r="AK155" i="13"/>
  <c r="AK156" i="13"/>
  <c r="AK157" i="13"/>
  <c r="AK158" i="13"/>
  <c r="AK159" i="13"/>
  <c r="AK160" i="13"/>
  <c r="AK161" i="13"/>
  <c r="AK162" i="13"/>
  <c r="AK163" i="13"/>
  <c r="AK164" i="13"/>
  <c r="AK165" i="13"/>
  <c r="AK166" i="13"/>
  <c r="AK167" i="13"/>
  <c r="AK168" i="13"/>
  <c r="AK169" i="13"/>
  <c r="AK170" i="13"/>
  <c r="AK171" i="13"/>
  <c r="AK172" i="13"/>
  <c r="AK173" i="13"/>
  <c r="AK174" i="13"/>
  <c r="AK175" i="13"/>
  <c r="AK176" i="13"/>
  <c r="AK177" i="13"/>
  <c r="AK178" i="13"/>
  <c r="AK179" i="13"/>
  <c r="AK180" i="13"/>
  <c r="AK181" i="13"/>
  <c r="AK182" i="13"/>
  <c r="AK183" i="13"/>
  <c r="AK184" i="13"/>
  <c r="AK185" i="13"/>
  <c r="AK186" i="13"/>
  <c r="AK187" i="13"/>
  <c r="AK3" i="13"/>
  <c r="AJ4" i="13"/>
  <c r="AJ5" i="13"/>
  <c r="AJ6" i="13"/>
  <c r="AJ7" i="13"/>
  <c r="AJ8" i="13"/>
  <c r="AJ9" i="13"/>
  <c r="AJ10" i="13"/>
  <c r="AJ11" i="13"/>
  <c r="AJ12" i="13"/>
  <c r="AJ13" i="13"/>
  <c r="AJ14" i="13"/>
  <c r="AJ15" i="13"/>
  <c r="AJ16" i="13"/>
  <c r="AJ17" i="13"/>
  <c r="AJ18" i="13"/>
  <c r="AJ19" i="13"/>
  <c r="AJ20" i="13"/>
  <c r="AJ21" i="13"/>
  <c r="AJ22" i="13"/>
  <c r="AJ23" i="13"/>
  <c r="AJ24" i="13"/>
  <c r="AJ25" i="13"/>
  <c r="AJ26" i="13"/>
  <c r="AJ27" i="13"/>
  <c r="AJ28" i="13"/>
  <c r="AJ29" i="13"/>
  <c r="AJ30" i="13"/>
  <c r="AJ31" i="13"/>
  <c r="AJ32" i="13"/>
  <c r="AJ33" i="13"/>
  <c r="AJ34" i="13"/>
  <c r="AJ35" i="13"/>
  <c r="AJ36" i="13"/>
  <c r="AJ37" i="13"/>
  <c r="AJ38" i="13"/>
  <c r="AJ39" i="13"/>
  <c r="AJ40" i="13"/>
  <c r="AJ41" i="13"/>
  <c r="AJ42" i="13"/>
  <c r="AJ43" i="13"/>
  <c r="AJ44" i="13"/>
  <c r="AJ45" i="13"/>
  <c r="AJ46" i="13"/>
  <c r="AJ47" i="13"/>
  <c r="AJ48" i="13"/>
  <c r="AJ49" i="13"/>
  <c r="AJ50" i="13"/>
  <c r="AJ51" i="13"/>
  <c r="AJ52" i="13"/>
  <c r="AJ53" i="13"/>
  <c r="AJ54" i="13"/>
  <c r="AJ55" i="13"/>
  <c r="AJ56" i="13"/>
  <c r="AJ57" i="13"/>
  <c r="AJ58" i="13"/>
  <c r="AJ59" i="13"/>
  <c r="AJ60" i="13"/>
  <c r="AJ61" i="13"/>
  <c r="AJ62" i="13"/>
  <c r="AJ63" i="13"/>
  <c r="AJ64" i="13"/>
  <c r="AJ65" i="13"/>
  <c r="AJ66" i="13"/>
  <c r="AJ67" i="13"/>
  <c r="AJ68" i="13"/>
  <c r="AJ69" i="13"/>
  <c r="AJ70" i="13"/>
  <c r="AJ71" i="13"/>
  <c r="AJ72" i="13"/>
  <c r="AJ73" i="13"/>
  <c r="AJ74" i="13"/>
  <c r="AJ75" i="13"/>
  <c r="AJ76" i="13"/>
  <c r="AJ77" i="13"/>
  <c r="AJ78" i="13"/>
  <c r="AJ79" i="13"/>
  <c r="AJ80" i="13"/>
  <c r="AJ81" i="13"/>
  <c r="AJ82" i="13"/>
  <c r="AJ83" i="13"/>
  <c r="AJ84" i="13"/>
  <c r="AJ85" i="13"/>
  <c r="AJ86" i="13"/>
  <c r="AJ87" i="13"/>
  <c r="AJ88" i="13"/>
  <c r="AJ89" i="13"/>
  <c r="AJ90" i="13"/>
  <c r="AJ91" i="13"/>
  <c r="AJ92" i="13"/>
  <c r="AJ93" i="13"/>
  <c r="AJ94" i="13"/>
  <c r="AJ95" i="13"/>
  <c r="AJ96" i="13"/>
  <c r="AJ97" i="13"/>
  <c r="AJ98" i="13"/>
  <c r="AJ99" i="13"/>
  <c r="AJ100" i="13"/>
  <c r="AJ101" i="13"/>
  <c r="AJ102" i="13"/>
  <c r="AJ103" i="13"/>
  <c r="AJ104" i="13"/>
  <c r="AJ105" i="13"/>
  <c r="AJ106" i="13"/>
  <c r="AJ107" i="13"/>
  <c r="AJ108" i="13"/>
  <c r="AJ109" i="13"/>
  <c r="AJ110" i="13"/>
  <c r="AJ111" i="13"/>
  <c r="AJ112" i="13"/>
  <c r="AJ113" i="13"/>
  <c r="AJ114" i="13"/>
  <c r="AJ115" i="13"/>
  <c r="AJ116" i="13"/>
  <c r="AJ117" i="13"/>
  <c r="AJ118" i="13"/>
  <c r="AJ119" i="13"/>
  <c r="AJ120" i="13"/>
  <c r="AJ121" i="13"/>
  <c r="AJ122" i="13"/>
  <c r="AJ123" i="13"/>
  <c r="AJ124" i="13"/>
  <c r="AJ125" i="13"/>
  <c r="AJ126" i="13"/>
  <c r="AJ127" i="13"/>
  <c r="AJ128" i="13"/>
  <c r="AJ129" i="13"/>
  <c r="AJ130" i="13"/>
  <c r="AJ131" i="13"/>
  <c r="AJ132" i="13"/>
  <c r="AJ133" i="13"/>
  <c r="AJ134" i="13"/>
  <c r="AJ135" i="13"/>
  <c r="AJ136" i="13"/>
  <c r="AJ137" i="13"/>
  <c r="AJ138" i="13"/>
  <c r="AJ139" i="13"/>
  <c r="AJ140" i="13"/>
  <c r="AJ141" i="13"/>
  <c r="AJ142" i="13"/>
  <c r="AJ143" i="13"/>
  <c r="AJ144" i="13"/>
  <c r="AJ145" i="13"/>
  <c r="AJ146" i="13"/>
  <c r="AJ147" i="13"/>
  <c r="AJ148" i="13"/>
  <c r="AJ149" i="13"/>
  <c r="AJ150" i="13"/>
  <c r="AJ151" i="13"/>
  <c r="AJ152" i="13"/>
  <c r="AJ153" i="13"/>
  <c r="AJ154" i="13"/>
  <c r="AJ155" i="13"/>
  <c r="AJ156" i="13"/>
  <c r="AJ157" i="13"/>
  <c r="AJ158" i="13"/>
  <c r="AJ159" i="13"/>
  <c r="AJ160" i="13"/>
  <c r="AJ161" i="13"/>
  <c r="AJ162" i="13"/>
  <c r="AJ163" i="13"/>
  <c r="AJ164" i="13"/>
  <c r="AJ165" i="13"/>
  <c r="AJ166" i="13"/>
  <c r="AJ167" i="13"/>
  <c r="AJ168" i="13"/>
  <c r="AJ169" i="13"/>
  <c r="AJ170" i="13"/>
  <c r="AJ171" i="13"/>
  <c r="AJ172" i="13"/>
  <c r="AJ173" i="13"/>
  <c r="AJ174" i="13"/>
  <c r="AJ175" i="13"/>
  <c r="AJ176" i="13"/>
  <c r="AJ177" i="13"/>
  <c r="AJ178" i="13"/>
  <c r="AJ179" i="13"/>
  <c r="AJ180" i="13"/>
  <c r="AJ181" i="13"/>
  <c r="AJ182" i="13"/>
  <c r="AJ183" i="13"/>
  <c r="AJ184" i="13"/>
  <c r="AJ185" i="13"/>
  <c r="AJ186" i="13"/>
  <c r="AJ187" i="13"/>
  <c r="AJ3" i="13"/>
  <c r="AI4" i="13"/>
  <c r="AI5" i="13"/>
  <c r="AI6" i="13"/>
  <c r="AI7" i="13"/>
  <c r="AI8" i="13"/>
  <c r="AI9" i="13"/>
  <c r="AI10" i="13"/>
  <c r="AI11" i="13"/>
  <c r="AI12" i="13"/>
  <c r="AI13" i="13"/>
  <c r="AI14" i="13"/>
  <c r="AI15" i="13"/>
  <c r="AI16" i="13"/>
  <c r="AI17" i="13"/>
  <c r="AI18" i="13"/>
  <c r="AI19" i="13"/>
  <c r="AI20" i="13"/>
  <c r="AI21" i="13"/>
  <c r="AI22" i="13"/>
  <c r="AI23" i="13"/>
  <c r="AI24" i="13"/>
  <c r="AI25" i="13"/>
  <c r="AI26" i="13"/>
  <c r="AI27" i="13"/>
  <c r="AI28" i="13"/>
  <c r="AI29" i="13"/>
  <c r="AI30" i="13"/>
  <c r="AI31" i="13"/>
  <c r="AI32" i="13"/>
  <c r="AI33" i="13"/>
  <c r="AI34" i="13"/>
  <c r="AI35" i="13"/>
  <c r="AI36" i="13"/>
  <c r="AI37" i="13"/>
  <c r="AI38" i="13"/>
  <c r="AI39" i="13"/>
  <c r="AI40" i="13"/>
  <c r="AI41" i="13"/>
  <c r="AI42" i="13"/>
  <c r="AI43" i="13"/>
  <c r="AI44" i="13"/>
  <c r="AI45" i="13"/>
  <c r="AI46" i="13"/>
  <c r="AI47" i="13"/>
  <c r="AI48" i="13"/>
  <c r="AI49" i="13"/>
  <c r="AI50" i="13"/>
  <c r="AI51" i="13"/>
  <c r="AI52" i="13"/>
  <c r="AI53" i="13"/>
  <c r="AI54" i="13"/>
  <c r="AI55" i="13"/>
  <c r="AI56" i="13"/>
  <c r="AI57" i="13"/>
  <c r="AI58" i="13"/>
  <c r="AI59" i="13"/>
  <c r="AI60" i="13"/>
  <c r="AI61" i="13"/>
  <c r="AI62" i="13"/>
  <c r="AI63" i="13"/>
  <c r="AI64" i="13"/>
  <c r="AI65" i="13"/>
  <c r="AI66" i="13"/>
  <c r="AI67" i="13"/>
  <c r="AI68" i="13"/>
  <c r="AI69" i="13"/>
  <c r="AI70" i="13"/>
  <c r="AI71" i="13"/>
  <c r="AI72" i="13"/>
  <c r="AI73" i="13"/>
  <c r="AI74" i="13"/>
  <c r="AI75" i="13"/>
  <c r="AI76" i="13"/>
  <c r="AI77" i="13"/>
  <c r="AI78" i="13"/>
  <c r="AI79" i="13"/>
  <c r="AI80" i="13"/>
  <c r="AI81" i="13"/>
  <c r="AI82" i="13"/>
  <c r="AI83" i="13"/>
  <c r="AI84" i="13"/>
  <c r="AI85" i="13"/>
  <c r="AI86" i="13"/>
  <c r="AI87" i="13"/>
  <c r="AI88" i="13"/>
  <c r="AI89" i="13"/>
  <c r="AI90" i="13"/>
  <c r="AI91" i="13"/>
  <c r="AI92" i="13"/>
  <c r="AI93" i="13"/>
  <c r="AI94" i="13"/>
  <c r="AI95" i="13"/>
  <c r="AI96" i="13"/>
  <c r="AI97" i="13"/>
  <c r="AI98" i="13"/>
  <c r="AI99" i="13"/>
  <c r="AI100" i="13"/>
  <c r="AI101" i="13"/>
  <c r="AI102" i="13"/>
  <c r="AI103" i="13"/>
  <c r="AI104" i="13"/>
  <c r="AI105" i="13"/>
  <c r="AI106" i="13"/>
  <c r="AI107" i="13"/>
  <c r="AI108" i="13"/>
  <c r="AI109" i="13"/>
  <c r="AI110" i="13"/>
  <c r="AI111" i="13"/>
  <c r="AI112" i="13"/>
  <c r="AI113" i="13"/>
  <c r="AI114" i="13"/>
  <c r="AI115" i="13"/>
  <c r="AI116" i="13"/>
  <c r="AI117" i="13"/>
  <c r="AI118" i="13"/>
  <c r="AI119" i="13"/>
  <c r="AI120" i="13"/>
  <c r="AI121" i="13"/>
  <c r="AI122" i="13"/>
  <c r="AI123" i="13"/>
  <c r="AI124" i="13"/>
  <c r="AI125" i="13"/>
  <c r="AI126" i="13"/>
  <c r="AI127" i="13"/>
  <c r="AI128" i="13"/>
  <c r="AI129" i="13"/>
  <c r="AI130" i="13"/>
  <c r="AI131" i="13"/>
  <c r="AI132" i="13"/>
  <c r="AI133" i="13"/>
  <c r="AI134" i="13"/>
  <c r="AI135" i="13"/>
  <c r="AI136" i="13"/>
  <c r="AI137" i="13"/>
  <c r="AI138" i="13"/>
  <c r="AI139" i="13"/>
  <c r="AI140" i="13"/>
  <c r="AI141" i="13"/>
  <c r="AI142" i="13"/>
  <c r="AI143" i="13"/>
  <c r="AI144" i="13"/>
  <c r="AI145" i="13"/>
  <c r="AI146" i="13"/>
  <c r="AI147" i="13"/>
  <c r="AI148" i="13"/>
  <c r="AI149" i="13"/>
  <c r="AI150" i="13"/>
  <c r="AI151" i="13"/>
  <c r="AI152" i="13"/>
  <c r="AI153" i="13"/>
  <c r="AI154" i="13"/>
  <c r="AI155" i="13"/>
  <c r="AI156" i="13"/>
  <c r="AI157" i="13"/>
  <c r="AI158" i="13"/>
  <c r="AI159" i="13"/>
  <c r="AI160" i="13"/>
  <c r="AI161" i="13"/>
  <c r="AI162" i="13"/>
  <c r="AI163" i="13"/>
  <c r="AI164" i="13"/>
  <c r="AI165" i="13"/>
  <c r="AI166" i="13"/>
  <c r="AI167" i="13"/>
  <c r="AI168" i="13"/>
  <c r="AI169" i="13"/>
  <c r="AI170" i="13"/>
  <c r="AI171" i="13"/>
  <c r="AI172" i="13"/>
  <c r="AI173" i="13"/>
  <c r="AI174" i="13"/>
  <c r="AI175" i="13"/>
  <c r="AI176" i="13"/>
  <c r="AI177" i="13"/>
  <c r="AI178" i="13"/>
  <c r="AI179" i="13"/>
  <c r="AI180" i="13"/>
  <c r="AI181" i="13"/>
  <c r="AI182" i="13"/>
  <c r="AI183" i="13"/>
  <c r="AI184" i="13"/>
  <c r="AI185" i="13"/>
  <c r="AI186" i="13"/>
  <c r="AI187" i="13"/>
  <c r="AI3" i="13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102" i="13"/>
  <c r="AH103" i="13"/>
  <c r="AH104" i="13"/>
  <c r="AH105" i="13"/>
  <c r="AH106" i="13"/>
  <c r="AH107" i="13"/>
  <c r="AH108" i="13"/>
  <c r="AH109" i="13"/>
  <c r="AH110" i="13"/>
  <c r="AH111" i="13"/>
  <c r="AH112" i="13"/>
  <c r="AH113" i="13"/>
  <c r="AH114" i="13"/>
  <c r="AH115" i="13"/>
  <c r="AH116" i="13"/>
  <c r="AH117" i="13"/>
  <c r="AH118" i="13"/>
  <c r="AH119" i="13"/>
  <c r="AH120" i="13"/>
  <c r="AH121" i="13"/>
  <c r="AH122" i="13"/>
  <c r="AH123" i="13"/>
  <c r="AH124" i="13"/>
  <c r="AH125" i="13"/>
  <c r="AH126" i="13"/>
  <c r="AH127" i="13"/>
  <c r="AH128" i="13"/>
  <c r="AH129" i="13"/>
  <c r="AH130" i="13"/>
  <c r="AH131" i="13"/>
  <c r="AH132" i="13"/>
  <c r="AH133" i="13"/>
  <c r="AH134" i="13"/>
  <c r="AH135" i="13"/>
  <c r="AH136" i="13"/>
  <c r="AH137" i="13"/>
  <c r="AH138" i="13"/>
  <c r="AH139" i="13"/>
  <c r="AH140" i="13"/>
  <c r="AH141" i="13"/>
  <c r="AH142" i="13"/>
  <c r="AH143" i="13"/>
  <c r="AH144" i="13"/>
  <c r="AH145" i="13"/>
  <c r="AH146" i="13"/>
  <c r="AH147" i="13"/>
  <c r="AH148" i="13"/>
  <c r="AH149" i="13"/>
  <c r="AH150" i="13"/>
  <c r="AH151" i="13"/>
  <c r="AH152" i="13"/>
  <c r="AH153" i="13"/>
  <c r="AH154" i="13"/>
  <c r="AH155" i="13"/>
  <c r="AH156" i="13"/>
  <c r="AH157" i="13"/>
  <c r="AH158" i="13"/>
  <c r="AH159" i="13"/>
  <c r="AH160" i="13"/>
  <c r="AH161" i="13"/>
  <c r="AH162" i="13"/>
  <c r="AH163" i="13"/>
  <c r="AH164" i="13"/>
  <c r="AH165" i="13"/>
  <c r="AH166" i="13"/>
  <c r="AH167" i="13"/>
  <c r="AH168" i="13"/>
  <c r="AH169" i="13"/>
  <c r="AH170" i="13"/>
  <c r="AH171" i="13"/>
  <c r="AH172" i="13"/>
  <c r="AH173" i="13"/>
  <c r="AH174" i="13"/>
  <c r="AH175" i="13"/>
  <c r="AH176" i="13"/>
  <c r="AH177" i="13"/>
  <c r="AH178" i="13"/>
  <c r="AH179" i="13"/>
  <c r="AH180" i="13"/>
  <c r="AH181" i="13"/>
  <c r="AH182" i="13"/>
  <c r="AH183" i="13"/>
  <c r="AH184" i="13"/>
  <c r="AH185" i="13"/>
  <c r="AH186" i="13"/>
  <c r="AH187" i="13"/>
  <c r="AH3" i="13"/>
  <c r="AG4" i="13"/>
  <c r="AG5" i="13"/>
  <c r="AG6" i="13"/>
  <c r="AG7" i="13"/>
  <c r="AG8" i="13"/>
  <c r="AG9" i="13"/>
  <c r="AG10" i="13"/>
  <c r="AG11" i="13"/>
  <c r="AG12" i="13"/>
  <c r="AG13" i="13"/>
  <c r="AG14" i="13"/>
  <c r="AG15" i="13"/>
  <c r="AG16" i="13"/>
  <c r="AG17" i="13"/>
  <c r="AG18" i="13"/>
  <c r="AG19" i="13"/>
  <c r="AG20" i="13"/>
  <c r="AG21" i="13"/>
  <c r="AG22" i="13"/>
  <c r="AG23" i="13"/>
  <c r="AG24" i="13"/>
  <c r="AG25" i="13"/>
  <c r="AG26" i="13"/>
  <c r="AG27" i="13"/>
  <c r="AG28" i="13"/>
  <c r="AG29" i="13"/>
  <c r="AG30" i="13"/>
  <c r="AG31" i="13"/>
  <c r="AG32" i="13"/>
  <c r="AG33" i="13"/>
  <c r="AG34" i="13"/>
  <c r="AG35" i="13"/>
  <c r="AG36" i="13"/>
  <c r="AG37" i="13"/>
  <c r="AG38" i="13"/>
  <c r="AG39" i="13"/>
  <c r="AG40" i="13"/>
  <c r="AG41" i="13"/>
  <c r="AG42" i="13"/>
  <c r="AG43" i="13"/>
  <c r="AG44" i="13"/>
  <c r="AG45" i="13"/>
  <c r="AG46" i="13"/>
  <c r="AG47" i="13"/>
  <c r="AG48" i="13"/>
  <c r="AG49" i="13"/>
  <c r="AG50" i="13"/>
  <c r="AG51" i="13"/>
  <c r="AG52" i="13"/>
  <c r="AG53" i="13"/>
  <c r="AG54" i="13"/>
  <c r="AG55" i="13"/>
  <c r="AG56" i="13"/>
  <c r="AG57" i="13"/>
  <c r="AG58" i="13"/>
  <c r="AG59" i="13"/>
  <c r="AG60" i="13"/>
  <c r="AG61" i="13"/>
  <c r="AG62" i="13"/>
  <c r="AG63" i="13"/>
  <c r="AG64" i="13"/>
  <c r="AG65" i="13"/>
  <c r="AG66" i="13"/>
  <c r="AG67" i="13"/>
  <c r="AG68" i="13"/>
  <c r="AG69" i="13"/>
  <c r="AG70" i="13"/>
  <c r="AG71" i="13"/>
  <c r="AG72" i="13"/>
  <c r="AG73" i="13"/>
  <c r="AG74" i="13"/>
  <c r="AG75" i="13"/>
  <c r="AG76" i="13"/>
  <c r="AG77" i="13"/>
  <c r="AG78" i="13"/>
  <c r="AG79" i="13"/>
  <c r="AG80" i="13"/>
  <c r="AG81" i="13"/>
  <c r="AG82" i="13"/>
  <c r="AG83" i="13"/>
  <c r="AG84" i="13"/>
  <c r="AG85" i="13"/>
  <c r="AG86" i="13"/>
  <c r="AG87" i="13"/>
  <c r="AG88" i="13"/>
  <c r="AG89" i="13"/>
  <c r="AG90" i="13"/>
  <c r="AG91" i="13"/>
  <c r="AG92" i="13"/>
  <c r="AG93" i="13"/>
  <c r="AG94" i="13"/>
  <c r="AG95" i="13"/>
  <c r="AG96" i="13"/>
  <c r="AG97" i="13"/>
  <c r="AG98" i="13"/>
  <c r="AG99" i="13"/>
  <c r="AG100" i="13"/>
  <c r="AG101" i="13"/>
  <c r="AG102" i="13"/>
  <c r="AG103" i="13"/>
  <c r="AG104" i="13"/>
  <c r="AG105" i="13"/>
  <c r="AG106" i="13"/>
  <c r="AG107" i="13"/>
  <c r="AG108" i="13"/>
  <c r="AG109" i="13"/>
  <c r="AG110" i="13"/>
  <c r="AG111" i="13"/>
  <c r="AG112" i="13"/>
  <c r="AG113" i="13"/>
  <c r="AG114" i="13"/>
  <c r="AG115" i="13"/>
  <c r="AG116" i="13"/>
  <c r="AG117" i="13"/>
  <c r="AG118" i="13"/>
  <c r="AG119" i="13"/>
  <c r="AG120" i="13"/>
  <c r="AG121" i="13"/>
  <c r="AG122" i="13"/>
  <c r="AG123" i="13"/>
  <c r="AG124" i="13"/>
  <c r="AG125" i="13"/>
  <c r="AG126" i="13"/>
  <c r="AG127" i="13"/>
  <c r="AG128" i="13"/>
  <c r="AG129" i="13"/>
  <c r="AG130" i="13"/>
  <c r="AG131" i="13"/>
  <c r="AG132" i="13"/>
  <c r="AG133" i="13"/>
  <c r="AG134" i="13"/>
  <c r="AG135" i="13"/>
  <c r="AG136" i="13"/>
  <c r="AG137" i="13"/>
  <c r="AG138" i="13"/>
  <c r="AG139" i="13"/>
  <c r="AG140" i="13"/>
  <c r="AG141" i="13"/>
  <c r="AG142" i="13"/>
  <c r="AG143" i="13"/>
  <c r="AG144" i="13"/>
  <c r="AG145" i="13"/>
  <c r="AG146" i="13"/>
  <c r="AG147" i="13"/>
  <c r="AG148" i="13"/>
  <c r="AG149" i="13"/>
  <c r="AG150" i="13"/>
  <c r="AG151" i="13"/>
  <c r="AG152" i="13"/>
  <c r="AG153" i="13"/>
  <c r="AG154" i="13"/>
  <c r="AG155" i="13"/>
  <c r="AG156" i="13"/>
  <c r="AG157" i="13"/>
  <c r="AG158" i="13"/>
  <c r="AG159" i="13"/>
  <c r="AG160" i="13"/>
  <c r="AG161" i="13"/>
  <c r="AG162" i="13"/>
  <c r="AG163" i="13"/>
  <c r="AG164" i="13"/>
  <c r="AG165" i="13"/>
  <c r="AG166" i="13"/>
  <c r="AG167" i="13"/>
  <c r="AG168" i="13"/>
  <c r="AG169" i="13"/>
  <c r="AG170" i="13"/>
  <c r="AG171" i="13"/>
  <c r="AG172" i="13"/>
  <c r="AG173" i="13"/>
  <c r="AG174" i="13"/>
  <c r="AG175" i="13"/>
  <c r="AG176" i="13"/>
  <c r="AG177" i="13"/>
  <c r="AG178" i="13"/>
  <c r="AG179" i="13"/>
  <c r="AG180" i="13"/>
  <c r="AG181" i="13"/>
  <c r="AG182" i="13"/>
  <c r="AG183" i="13"/>
  <c r="AG184" i="13"/>
  <c r="AG185" i="13"/>
  <c r="AG186" i="13"/>
  <c r="AG187" i="13"/>
  <c r="AG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102" i="13"/>
  <c r="AF103" i="13"/>
  <c r="AF104" i="13"/>
  <c r="AF105" i="13"/>
  <c r="AF106" i="13"/>
  <c r="AF107" i="13"/>
  <c r="AF108" i="13"/>
  <c r="AF109" i="13"/>
  <c r="AF110" i="13"/>
  <c r="AF111" i="13"/>
  <c r="AF112" i="13"/>
  <c r="AF113" i="13"/>
  <c r="AF114" i="13"/>
  <c r="AF115" i="13"/>
  <c r="AF116" i="13"/>
  <c r="AF117" i="13"/>
  <c r="AF118" i="13"/>
  <c r="AF119" i="13"/>
  <c r="AF120" i="13"/>
  <c r="AF121" i="13"/>
  <c r="AF122" i="13"/>
  <c r="AF123" i="13"/>
  <c r="AF124" i="13"/>
  <c r="AF125" i="13"/>
  <c r="AF126" i="13"/>
  <c r="AF127" i="13"/>
  <c r="AF128" i="13"/>
  <c r="AF129" i="13"/>
  <c r="AF130" i="13"/>
  <c r="AF131" i="13"/>
  <c r="AF132" i="13"/>
  <c r="AF133" i="13"/>
  <c r="AF134" i="13"/>
  <c r="AF135" i="13"/>
  <c r="AF136" i="13"/>
  <c r="AF137" i="13"/>
  <c r="AF138" i="13"/>
  <c r="AF139" i="13"/>
  <c r="AF140" i="13"/>
  <c r="AF141" i="13"/>
  <c r="AF142" i="13"/>
  <c r="AF143" i="13"/>
  <c r="AF144" i="13"/>
  <c r="AF145" i="13"/>
  <c r="AF146" i="13"/>
  <c r="AF147" i="13"/>
  <c r="AF148" i="13"/>
  <c r="AF149" i="13"/>
  <c r="AF150" i="13"/>
  <c r="AF151" i="13"/>
  <c r="AF152" i="13"/>
  <c r="AF153" i="13"/>
  <c r="AF154" i="13"/>
  <c r="AF155" i="13"/>
  <c r="AF156" i="13"/>
  <c r="AF157" i="13"/>
  <c r="AF158" i="13"/>
  <c r="AF159" i="13"/>
  <c r="AF160" i="13"/>
  <c r="AF161" i="13"/>
  <c r="AF162" i="13"/>
  <c r="AF163" i="13"/>
  <c r="AF164" i="13"/>
  <c r="AF165" i="13"/>
  <c r="AF166" i="13"/>
  <c r="AF167" i="13"/>
  <c r="AF168" i="13"/>
  <c r="AF169" i="13"/>
  <c r="AF170" i="13"/>
  <c r="AF171" i="13"/>
  <c r="AF172" i="13"/>
  <c r="AF173" i="13"/>
  <c r="AF174" i="13"/>
  <c r="AF175" i="13"/>
  <c r="AF176" i="13"/>
  <c r="AF177" i="13"/>
  <c r="AF178" i="13"/>
  <c r="AF179" i="13"/>
  <c r="AF180" i="13"/>
  <c r="AF181" i="13"/>
  <c r="AF182" i="13"/>
  <c r="AF183" i="13"/>
  <c r="AF184" i="13"/>
  <c r="AF185" i="13"/>
  <c r="AF186" i="13"/>
  <c r="AF187" i="13"/>
  <c r="AF3" i="13"/>
  <c r="AE4" i="13"/>
  <c r="AE5" i="13"/>
  <c r="AE6" i="13"/>
  <c r="AE7" i="13"/>
  <c r="AE8" i="13"/>
  <c r="AE9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102" i="13"/>
  <c r="AE103" i="13"/>
  <c r="AE104" i="13"/>
  <c r="AE105" i="13"/>
  <c r="AE106" i="13"/>
  <c r="AE107" i="13"/>
  <c r="AE108" i="13"/>
  <c r="AE109" i="13"/>
  <c r="AE110" i="13"/>
  <c r="AE111" i="13"/>
  <c r="AE112" i="13"/>
  <c r="AE113" i="13"/>
  <c r="AE114" i="13"/>
  <c r="AE115" i="13"/>
  <c r="AE116" i="13"/>
  <c r="AE117" i="13"/>
  <c r="AE118" i="13"/>
  <c r="AE119" i="13"/>
  <c r="AE120" i="13"/>
  <c r="AE121" i="13"/>
  <c r="AE122" i="13"/>
  <c r="AE123" i="13"/>
  <c r="AE124" i="13"/>
  <c r="AE125" i="13"/>
  <c r="AE126" i="13"/>
  <c r="AE127" i="13"/>
  <c r="AE128" i="13"/>
  <c r="AE129" i="13"/>
  <c r="AE130" i="13"/>
  <c r="AE131" i="13"/>
  <c r="AE132" i="13"/>
  <c r="AE133" i="13"/>
  <c r="AE134" i="13"/>
  <c r="AE135" i="13"/>
  <c r="AE136" i="13"/>
  <c r="AE137" i="13"/>
  <c r="AE138" i="13"/>
  <c r="AE139" i="13"/>
  <c r="AE140" i="13"/>
  <c r="AE141" i="13"/>
  <c r="AE142" i="13"/>
  <c r="AE143" i="13"/>
  <c r="AE144" i="13"/>
  <c r="AE145" i="13"/>
  <c r="AE146" i="13"/>
  <c r="AE147" i="13"/>
  <c r="AE148" i="13"/>
  <c r="AE149" i="13"/>
  <c r="AE150" i="13"/>
  <c r="AE151" i="13"/>
  <c r="AE152" i="13"/>
  <c r="AE153" i="13"/>
  <c r="AE154" i="13"/>
  <c r="AE155" i="13"/>
  <c r="AE156" i="13"/>
  <c r="AE157" i="13"/>
  <c r="AE158" i="13"/>
  <c r="AE159" i="13"/>
  <c r="AE160" i="13"/>
  <c r="AE161" i="13"/>
  <c r="AE162" i="13"/>
  <c r="AE163" i="13"/>
  <c r="AE164" i="13"/>
  <c r="AE165" i="13"/>
  <c r="AE166" i="13"/>
  <c r="AE167" i="13"/>
  <c r="AE168" i="13"/>
  <c r="AE169" i="13"/>
  <c r="AE170" i="13"/>
  <c r="AE171" i="13"/>
  <c r="AE172" i="13"/>
  <c r="AE173" i="13"/>
  <c r="AE174" i="13"/>
  <c r="AE175" i="13"/>
  <c r="AE176" i="13"/>
  <c r="AE177" i="13"/>
  <c r="AE178" i="13"/>
  <c r="AE179" i="13"/>
  <c r="AE180" i="13"/>
  <c r="AE181" i="13"/>
  <c r="AE182" i="13"/>
  <c r="AE183" i="13"/>
  <c r="AE184" i="13"/>
  <c r="AE185" i="13"/>
  <c r="AE186" i="13"/>
  <c r="AE187" i="13"/>
  <c r="AE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AD54" i="13"/>
  <c r="AD55" i="13"/>
  <c r="AD56" i="13"/>
  <c r="AD57" i="13"/>
  <c r="AD58" i="13"/>
  <c r="AD59" i="13"/>
  <c r="AD60" i="13"/>
  <c r="AD61" i="13"/>
  <c r="AD62" i="13"/>
  <c r="AD63" i="13"/>
  <c r="AD64" i="13"/>
  <c r="AD65" i="13"/>
  <c r="AD66" i="13"/>
  <c r="AD67" i="13"/>
  <c r="AD68" i="13"/>
  <c r="AD69" i="13"/>
  <c r="AD70" i="13"/>
  <c r="AD71" i="13"/>
  <c r="AD72" i="13"/>
  <c r="AD73" i="13"/>
  <c r="AD74" i="13"/>
  <c r="AD75" i="13"/>
  <c r="AD76" i="13"/>
  <c r="AD77" i="13"/>
  <c r="AD78" i="13"/>
  <c r="AD79" i="13"/>
  <c r="AD80" i="13"/>
  <c r="AD81" i="13"/>
  <c r="AD82" i="13"/>
  <c r="AD83" i="13"/>
  <c r="AD84" i="13"/>
  <c r="AD85" i="13"/>
  <c r="AD86" i="13"/>
  <c r="AD87" i="13"/>
  <c r="AD88" i="13"/>
  <c r="AD89" i="13"/>
  <c r="AD90" i="13"/>
  <c r="AD91" i="13"/>
  <c r="AD92" i="13"/>
  <c r="AD93" i="13"/>
  <c r="AD94" i="13"/>
  <c r="AD95" i="13"/>
  <c r="AD96" i="13"/>
  <c r="AD97" i="13"/>
  <c r="AD98" i="13"/>
  <c r="AD99" i="13"/>
  <c r="AD100" i="13"/>
  <c r="AD101" i="13"/>
  <c r="AD102" i="13"/>
  <c r="AD103" i="13"/>
  <c r="AD104" i="13"/>
  <c r="AD105" i="13"/>
  <c r="AD106" i="13"/>
  <c r="AD107" i="13"/>
  <c r="AD108" i="13"/>
  <c r="AD109" i="13"/>
  <c r="AD110" i="13"/>
  <c r="AD111" i="13"/>
  <c r="AD112" i="13"/>
  <c r="AD113" i="13"/>
  <c r="AD114" i="13"/>
  <c r="AD115" i="13"/>
  <c r="AD116" i="13"/>
  <c r="AD117" i="13"/>
  <c r="AD118" i="13"/>
  <c r="AD119" i="13"/>
  <c r="AD120" i="13"/>
  <c r="AD121" i="13"/>
  <c r="AD122" i="13"/>
  <c r="AD123" i="13"/>
  <c r="AD124" i="13"/>
  <c r="AD125" i="13"/>
  <c r="AD126" i="13"/>
  <c r="AD127" i="13"/>
  <c r="AD128" i="13"/>
  <c r="AD129" i="13"/>
  <c r="AD130" i="13"/>
  <c r="AD131" i="13"/>
  <c r="AD132" i="13"/>
  <c r="AD133" i="13"/>
  <c r="AD134" i="13"/>
  <c r="AD135" i="13"/>
  <c r="AD136" i="13"/>
  <c r="AD137" i="13"/>
  <c r="AD138" i="13"/>
  <c r="AD139" i="13"/>
  <c r="AD140" i="13"/>
  <c r="AD141" i="13"/>
  <c r="AD142" i="13"/>
  <c r="AD143" i="13"/>
  <c r="AD144" i="13"/>
  <c r="AD145" i="13"/>
  <c r="AD146" i="13"/>
  <c r="AD147" i="13"/>
  <c r="AD148" i="13"/>
  <c r="AD149" i="13"/>
  <c r="AD150" i="13"/>
  <c r="AD151" i="13"/>
  <c r="AD152" i="13"/>
  <c r="AD153" i="13"/>
  <c r="AD154" i="13"/>
  <c r="AD155" i="13"/>
  <c r="AD156" i="13"/>
  <c r="AD157" i="13"/>
  <c r="AD158" i="13"/>
  <c r="AD159" i="13"/>
  <c r="AD160" i="13"/>
  <c r="AD161" i="13"/>
  <c r="AD162" i="13"/>
  <c r="AD163" i="13"/>
  <c r="AD164" i="13"/>
  <c r="AD165" i="13"/>
  <c r="AD166" i="13"/>
  <c r="AD167" i="13"/>
  <c r="AD168" i="13"/>
  <c r="AD169" i="13"/>
  <c r="AD170" i="13"/>
  <c r="AD171" i="13"/>
  <c r="AD172" i="13"/>
  <c r="AD173" i="13"/>
  <c r="AD174" i="13"/>
  <c r="AD175" i="13"/>
  <c r="AD176" i="13"/>
  <c r="AD177" i="13"/>
  <c r="AD178" i="13"/>
  <c r="AD179" i="13"/>
  <c r="AD180" i="13"/>
  <c r="AD181" i="13"/>
  <c r="AD182" i="13"/>
  <c r="AD183" i="13"/>
  <c r="AD184" i="13"/>
  <c r="AD185" i="13"/>
  <c r="AD186" i="13"/>
  <c r="AD187" i="13"/>
  <c r="AD3" i="13"/>
  <c r="M187" i="13" l="1"/>
  <c r="AP187" i="13" s="1"/>
  <c r="M186" i="13"/>
  <c r="AP186" i="13" s="1"/>
  <c r="M185" i="13"/>
  <c r="AP185" i="13" s="1"/>
  <c r="M184" i="13"/>
  <c r="AP184" i="13" s="1"/>
  <c r="M183" i="13"/>
  <c r="AP183" i="13" s="1"/>
  <c r="M182" i="13"/>
  <c r="AP182" i="13" s="1"/>
  <c r="M181" i="13"/>
  <c r="AP181" i="13" s="1"/>
  <c r="M180" i="13"/>
  <c r="AP180" i="13" s="1"/>
  <c r="M179" i="13"/>
  <c r="AP179" i="13" s="1"/>
  <c r="M178" i="13"/>
  <c r="AP178" i="13" s="1"/>
  <c r="M177" i="13"/>
  <c r="AP177" i="13" s="1"/>
  <c r="M176" i="13"/>
  <c r="AP176" i="13" s="1"/>
  <c r="M175" i="13"/>
  <c r="AP175" i="13" s="1"/>
  <c r="M174" i="13"/>
  <c r="AP174" i="13" s="1"/>
  <c r="M173" i="13"/>
  <c r="AP173" i="13" s="1"/>
  <c r="M172" i="13"/>
  <c r="AP172" i="13" s="1"/>
  <c r="M171" i="13"/>
  <c r="AP171" i="13" s="1"/>
  <c r="M170" i="13"/>
  <c r="AP170" i="13" s="1"/>
  <c r="M169" i="13"/>
  <c r="AP169" i="13" s="1"/>
  <c r="M168" i="13"/>
  <c r="AP168" i="13" s="1"/>
  <c r="M167" i="13"/>
  <c r="AP167" i="13" s="1"/>
  <c r="M166" i="13"/>
  <c r="AP166" i="13" s="1"/>
  <c r="M165" i="13"/>
  <c r="AP165" i="13" s="1"/>
  <c r="M164" i="13"/>
  <c r="AP164" i="13" s="1"/>
  <c r="M163" i="13"/>
  <c r="AP163" i="13" s="1"/>
  <c r="M162" i="13"/>
  <c r="AP162" i="13" s="1"/>
  <c r="M161" i="13"/>
  <c r="AP161" i="13" s="1"/>
  <c r="M160" i="13"/>
  <c r="AP160" i="13" s="1"/>
  <c r="M159" i="13"/>
  <c r="AP159" i="13" s="1"/>
  <c r="M158" i="13"/>
  <c r="AP158" i="13" s="1"/>
  <c r="M157" i="13"/>
  <c r="AP157" i="13" s="1"/>
  <c r="M156" i="13"/>
  <c r="AP156" i="13" s="1"/>
  <c r="M155" i="13"/>
  <c r="AP155" i="13" s="1"/>
  <c r="M154" i="13"/>
  <c r="AP154" i="13" s="1"/>
  <c r="M153" i="13"/>
  <c r="AP153" i="13" s="1"/>
  <c r="M152" i="13"/>
  <c r="AP152" i="13" s="1"/>
  <c r="M151" i="13"/>
  <c r="AP151" i="13" s="1"/>
  <c r="M150" i="13"/>
  <c r="AP150" i="13" s="1"/>
  <c r="M149" i="13"/>
  <c r="AP149" i="13" s="1"/>
  <c r="M148" i="13"/>
  <c r="AP148" i="13" s="1"/>
  <c r="M147" i="13"/>
  <c r="AP147" i="13" s="1"/>
  <c r="M146" i="13"/>
  <c r="AP146" i="13" s="1"/>
  <c r="M145" i="13"/>
  <c r="AP145" i="13" s="1"/>
  <c r="M144" i="13"/>
  <c r="AP144" i="13" s="1"/>
  <c r="M143" i="13"/>
  <c r="AP143" i="13" s="1"/>
  <c r="M142" i="13"/>
  <c r="AP142" i="13" s="1"/>
  <c r="M141" i="13"/>
  <c r="AP141" i="13" s="1"/>
  <c r="M140" i="13"/>
  <c r="AP140" i="13" s="1"/>
  <c r="M139" i="13"/>
  <c r="AP139" i="13" s="1"/>
  <c r="M138" i="13"/>
  <c r="AP138" i="13" s="1"/>
  <c r="M137" i="13"/>
  <c r="AP137" i="13" s="1"/>
  <c r="M136" i="13"/>
  <c r="AP136" i="13" s="1"/>
  <c r="M135" i="13"/>
  <c r="AP135" i="13" s="1"/>
  <c r="M134" i="13"/>
  <c r="AP134" i="13" s="1"/>
  <c r="M133" i="13"/>
  <c r="AP133" i="13" s="1"/>
  <c r="M132" i="13"/>
  <c r="AP132" i="13" s="1"/>
  <c r="M131" i="13"/>
  <c r="AP131" i="13" s="1"/>
  <c r="M130" i="13"/>
  <c r="AP130" i="13" s="1"/>
  <c r="M129" i="13"/>
  <c r="AP129" i="13" s="1"/>
  <c r="M128" i="13"/>
  <c r="AP128" i="13" s="1"/>
  <c r="M127" i="13"/>
  <c r="AP127" i="13" s="1"/>
  <c r="M126" i="13"/>
  <c r="AP126" i="13" s="1"/>
  <c r="M125" i="13"/>
  <c r="AP125" i="13" s="1"/>
  <c r="M124" i="13"/>
  <c r="AP124" i="13" s="1"/>
  <c r="M123" i="13"/>
  <c r="AP123" i="13" s="1"/>
  <c r="M122" i="13"/>
  <c r="AP122" i="13" s="1"/>
  <c r="M121" i="13"/>
  <c r="AP121" i="13" s="1"/>
  <c r="M120" i="13"/>
  <c r="AP120" i="13" s="1"/>
  <c r="M119" i="13"/>
  <c r="AP119" i="13" s="1"/>
  <c r="M118" i="13"/>
  <c r="AP118" i="13" s="1"/>
  <c r="M117" i="13"/>
  <c r="AP117" i="13" s="1"/>
  <c r="M116" i="13"/>
  <c r="AP116" i="13" s="1"/>
  <c r="M115" i="13"/>
  <c r="AP115" i="13" s="1"/>
  <c r="M114" i="13"/>
  <c r="AP114" i="13" s="1"/>
  <c r="M113" i="13"/>
  <c r="AP113" i="13" s="1"/>
  <c r="M112" i="13"/>
  <c r="AP112" i="13" s="1"/>
  <c r="M111" i="13"/>
  <c r="AP111" i="13" s="1"/>
  <c r="M110" i="13"/>
  <c r="AP110" i="13" s="1"/>
  <c r="M109" i="13"/>
  <c r="AP109" i="13" s="1"/>
  <c r="M108" i="13"/>
  <c r="AP108" i="13" s="1"/>
  <c r="M107" i="13"/>
  <c r="AP107" i="13" s="1"/>
  <c r="M106" i="13"/>
  <c r="AP106" i="13" s="1"/>
  <c r="M105" i="13"/>
  <c r="AP105" i="13" s="1"/>
  <c r="M104" i="13"/>
  <c r="AP104" i="13" s="1"/>
  <c r="M103" i="13"/>
  <c r="AP103" i="13" s="1"/>
  <c r="M102" i="13"/>
  <c r="AP102" i="13" s="1"/>
  <c r="M101" i="13"/>
  <c r="AP101" i="13" s="1"/>
  <c r="M100" i="13"/>
  <c r="AP100" i="13" s="1"/>
  <c r="M99" i="13"/>
  <c r="AP99" i="13" s="1"/>
  <c r="M98" i="13"/>
  <c r="AP98" i="13" s="1"/>
  <c r="M97" i="13"/>
  <c r="AP97" i="13" s="1"/>
  <c r="M96" i="13"/>
  <c r="AP96" i="13" s="1"/>
  <c r="M95" i="13"/>
  <c r="AP95" i="13" s="1"/>
  <c r="M94" i="13"/>
  <c r="AP94" i="13" s="1"/>
  <c r="M93" i="13"/>
  <c r="AP93" i="13" s="1"/>
  <c r="M92" i="13"/>
  <c r="AP92" i="13" s="1"/>
  <c r="M91" i="13"/>
  <c r="AP91" i="13" s="1"/>
  <c r="M90" i="13"/>
  <c r="AP90" i="13" s="1"/>
  <c r="M89" i="13"/>
  <c r="AP89" i="13" s="1"/>
  <c r="M88" i="13"/>
  <c r="AP88" i="13" s="1"/>
  <c r="M87" i="13"/>
  <c r="AP87" i="13" s="1"/>
  <c r="M86" i="13"/>
  <c r="AP86" i="13" s="1"/>
  <c r="M85" i="13"/>
  <c r="AP85" i="13" s="1"/>
  <c r="M84" i="13"/>
  <c r="AP84" i="13" s="1"/>
  <c r="M83" i="13"/>
  <c r="AP83" i="13" s="1"/>
  <c r="M82" i="13"/>
  <c r="AP82" i="13" s="1"/>
  <c r="M81" i="13"/>
  <c r="AP81" i="13" s="1"/>
  <c r="M80" i="13"/>
  <c r="AP80" i="13" s="1"/>
  <c r="M79" i="13"/>
  <c r="AP79" i="13" s="1"/>
  <c r="M78" i="13"/>
  <c r="AP78" i="13" s="1"/>
  <c r="M77" i="13"/>
  <c r="AP77" i="13" s="1"/>
  <c r="M76" i="13"/>
  <c r="AP76" i="13" s="1"/>
  <c r="M75" i="13"/>
  <c r="AP75" i="13" s="1"/>
  <c r="M74" i="13"/>
  <c r="AP74" i="13" s="1"/>
  <c r="M73" i="13"/>
  <c r="AP73" i="13" s="1"/>
  <c r="M72" i="13"/>
  <c r="AP72" i="13" s="1"/>
  <c r="M71" i="13"/>
  <c r="AP71" i="13" s="1"/>
  <c r="M70" i="13"/>
  <c r="AP70" i="13" s="1"/>
  <c r="M69" i="13"/>
  <c r="AP69" i="13" s="1"/>
  <c r="M68" i="13"/>
  <c r="AP68" i="13" s="1"/>
  <c r="M67" i="13"/>
  <c r="AP67" i="13" s="1"/>
  <c r="M66" i="13"/>
  <c r="AP66" i="13" s="1"/>
  <c r="M65" i="13"/>
  <c r="AP65" i="13" s="1"/>
  <c r="M64" i="13"/>
  <c r="AP64" i="13" s="1"/>
  <c r="M63" i="13"/>
  <c r="AP63" i="13" s="1"/>
  <c r="M62" i="13"/>
  <c r="AP62" i="13" s="1"/>
  <c r="M61" i="13"/>
  <c r="AP61" i="13" s="1"/>
  <c r="M60" i="13"/>
  <c r="AP60" i="13" s="1"/>
  <c r="M59" i="13"/>
  <c r="AP59" i="13" s="1"/>
  <c r="M58" i="13"/>
  <c r="AP58" i="13" s="1"/>
  <c r="M57" i="13"/>
  <c r="AP57" i="13" s="1"/>
  <c r="M56" i="13"/>
  <c r="AP56" i="13" s="1"/>
  <c r="M55" i="13"/>
  <c r="AP55" i="13" s="1"/>
  <c r="M54" i="13"/>
  <c r="AP54" i="13" s="1"/>
  <c r="M53" i="13"/>
  <c r="AP53" i="13" s="1"/>
  <c r="M52" i="13"/>
  <c r="AP52" i="13" s="1"/>
  <c r="M51" i="13"/>
  <c r="AP51" i="13" s="1"/>
  <c r="M50" i="13"/>
  <c r="AP50" i="13" s="1"/>
  <c r="M49" i="13"/>
  <c r="AP49" i="13" s="1"/>
  <c r="M48" i="13"/>
  <c r="AP48" i="13" s="1"/>
  <c r="M47" i="13"/>
  <c r="AP47" i="13" s="1"/>
  <c r="M46" i="13"/>
  <c r="AP46" i="13" s="1"/>
  <c r="M45" i="13"/>
  <c r="AP45" i="13" s="1"/>
  <c r="M44" i="13"/>
  <c r="AP44" i="13" s="1"/>
  <c r="M43" i="13"/>
  <c r="AP43" i="13" s="1"/>
  <c r="M42" i="13"/>
  <c r="AP42" i="13" s="1"/>
  <c r="M41" i="13"/>
  <c r="AP41" i="13" s="1"/>
  <c r="M40" i="13"/>
  <c r="AP40" i="13" s="1"/>
  <c r="M39" i="13"/>
  <c r="AP39" i="13" s="1"/>
  <c r="M38" i="13"/>
  <c r="AP38" i="13" s="1"/>
  <c r="M37" i="13"/>
  <c r="AP37" i="13" s="1"/>
  <c r="M36" i="13"/>
  <c r="AP36" i="13" s="1"/>
  <c r="M35" i="13"/>
  <c r="AP35" i="13" s="1"/>
  <c r="M34" i="13"/>
  <c r="AP34" i="13" s="1"/>
  <c r="M33" i="13"/>
  <c r="AP33" i="13" s="1"/>
  <c r="M32" i="13"/>
  <c r="AP32" i="13" s="1"/>
  <c r="M31" i="13"/>
  <c r="AP31" i="13" s="1"/>
  <c r="M30" i="13"/>
  <c r="AP30" i="13" s="1"/>
  <c r="M29" i="13"/>
  <c r="AP29" i="13" s="1"/>
  <c r="M28" i="13"/>
  <c r="AP28" i="13" s="1"/>
  <c r="M27" i="13"/>
  <c r="AP27" i="13" s="1"/>
  <c r="M26" i="13"/>
  <c r="AP26" i="13" s="1"/>
  <c r="M25" i="13"/>
  <c r="AP25" i="13" s="1"/>
  <c r="M24" i="13"/>
  <c r="AP24" i="13" s="1"/>
  <c r="M23" i="13"/>
  <c r="AP23" i="13" s="1"/>
  <c r="M22" i="13"/>
  <c r="AP22" i="13" s="1"/>
  <c r="M21" i="13"/>
  <c r="AP21" i="13" s="1"/>
  <c r="M20" i="13"/>
  <c r="AP20" i="13" s="1"/>
  <c r="M19" i="13"/>
  <c r="AP19" i="13" s="1"/>
  <c r="M18" i="13"/>
  <c r="AP18" i="13" s="1"/>
  <c r="M17" i="13"/>
  <c r="AP17" i="13" s="1"/>
  <c r="M16" i="13"/>
  <c r="AP16" i="13" s="1"/>
  <c r="M15" i="13"/>
  <c r="AP15" i="13" s="1"/>
  <c r="M14" i="13"/>
  <c r="AP14" i="13" s="1"/>
  <c r="M13" i="13"/>
  <c r="AP13" i="13" s="1"/>
  <c r="M12" i="13"/>
  <c r="AP12" i="13" s="1"/>
  <c r="M11" i="13"/>
  <c r="AP11" i="13" s="1"/>
  <c r="M10" i="13"/>
  <c r="AP10" i="13" s="1"/>
  <c r="M9" i="13"/>
  <c r="AP9" i="13" s="1"/>
  <c r="M8" i="13"/>
  <c r="AP8" i="13" s="1"/>
  <c r="M7" i="13"/>
  <c r="AP7" i="13" s="1"/>
  <c r="M6" i="13"/>
  <c r="AP6" i="13" s="1"/>
  <c r="M5" i="13"/>
  <c r="AP5" i="13" s="1"/>
  <c r="M4" i="13"/>
  <c r="AP4" i="13" s="1"/>
  <c r="M3" i="13"/>
  <c r="AP3" i="13" s="1"/>
  <c r="P186" i="7" l="1"/>
  <c r="P185" i="7"/>
  <c r="P184" i="7"/>
  <c r="P183" i="7"/>
  <c r="P182" i="7"/>
  <c r="P181" i="7"/>
  <c r="P180" i="7"/>
  <c r="P179" i="7"/>
  <c r="P178" i="7"/>
  <c r="P177" i="7"/>
  <c r="P176" i="7"/>
  <c r="P175" i="7"/>
  <c r="P174" i="7"/>
  <c r="P173" i="7"/>
  <c r="P172" i="7"/>
  <c r="P171" i="7"/>
  <c r="P170" i="7"/>
  <c r="P169" i="7"/>
  <c r="P168" i="7"/>
  <c r="P167" i="7"/>
  <c r="P166" i="7"/>
  <c r="P165" i="7"/>
  <c r="P164" i="7"/>
  <c r="P163" i="7"/>
  <c r="P162" i="7"/>
  <c r="P161" i="7"/>
  <c r="P160" i="7"/>
  <c r="P159" i="7"/>
  <c r="P158" i="7"/>
  <c r="P157" i="7"/>
  <c r="P156" i="7"/>
  <c r="P155" i="7"/>
  <c r="P154" i="7"/>
  <c r="P153" i="7"/>
  <c r="P152" i="7"/>
  <c r="P151" i="7"/>
  <c r="P150" i="7"/>
  <c r="P149" i="7"/>
  <c r="P148" i="7"/>
  <c r="P147" i="7"/>
  <c r="P146" i="7"/>
  <c r="P145" i="7"/>
  <c r="P144" i="7"/>
  <c r="P143" i="7"/>
  <c r="P142" i="7"/>
  <c r="P141" i="7"/>
  <c r="P140" i="7"/>
  <c r="P139" i="7"/>
  <c r="P138" i="7"/>
  <c r="P137" i="7"/>
  <c r="P136" i="7"/>
  <c r="P135" i="7"/>
  <c r="P134" i="7"/>
  <c r="P133" i="7"/>
  <c r="P132" i="7"/>
  <c r="P131" i="7"/>
  <c r="P130" i="7"/>
  <c r="P129" i="7"/>
  <c r="P128" i="7"/>
  <c r="P127" i="7"/>
  <c r="P126" i="7"/>
  <c r="P125" i="7"/>
  <c r="P124" i="7"/>
  <c r="P123" i="7"/>
  <c r="P122" i="7"/>
  <c r="P121" i="7"/>
  <c r="P120" i="7"/>
  <c r="P119" i="7"/>
  <c r="P118" i="7"/>
  <c r="P117" i="7"/>
  <c r="P116" i="7"/>
  <c r="P115" i="7"/>
  <c r="P114" i="7"/>
  <c r="P113" i="7"/>
  <c r="P112" i="7"/>
  <c r="P111" i="7"/>
  <c r="P110" i="7"/>
  <c r="P109" i="7"/>
  <c r="P108" i="7"/>
  <c r="P107" i="7"/>
  <c r="P106" i="7"/>
  <c r="P105" i="7"/>
  <c r="P104" i="7"/>
  <c r="P103" i="7"/>
  <c r="P102" i="7"/>
  <c r="P101" i="7"/>
  <c r="P100" i="7"/>
  <c r="P99" i="7"/>
  <c r="P98" i="7"/>
  <c r="P97" i="7"/>
  <c r="P96" i="7"/>
  <c r="P95" i="7"/>
  <c r="P94" i="7"/>
  <c r="P93" i="7"/>
  <c r="P92" i="7"/>
  <c r="P91" i="7"/>
  <c r="P90" i="7"/>
  <c r="P89" i="7"/>
  <c r="P88" i="7"/>
  <c r="P87" i="7"/>
  <c r="P86" i="7"/>
  <c r="P85" i="7"/>
  <c r="P84" i="7"/>
  <c r="P83" i="7"/>
  <c r="P82" i="7"/>
  <c r="P81" i="7"/>
  <c r="P80" i="7"/>
  <c r="P79" i="7"/>
  <c r="P78" i="7"/>
  <c r="P77" i="7"/>
  <c r="P76" i="7"/>
  <c r="P75" i="7"/>
  <c r="P74" i="7"/>
  <c r="P73" i="7"/>
  <c r="P72" i="7"/>
  <c r="P71" i="7"/>
  <c r="P70" i="7"/>
  <c r="P69" i="7"/>
  <c r="P68" i="7"/>
  <c r="P67" i="7"/>
  <c r="P66" i="7"/>
  <c r="P65" i="7"/>
  <c r="P64" i="7"/>
  <c r="P63" i="7"/>
  <c r="P62" i="7"/>
  <c r="P61" i="7"/>
  <c r="P60" i="7"/>
  <c r="P59" i="7"/>
  <c r="P58" i="7"/>
  <c r="P57" i="7"/>
  <c r="P56" i="7"/>
  <c r="P55" i="7"/>
  <c r="P54" i="7"/>
  <c r="P53" i="7"/>
  <c r="P52" i="7"/>
  <c r="P51" i="7"/>
  <c r="P50" i="7"/>
  <c r="P49" i="7"/>
  <c r="P48" i="7"/>
  <c r="P47" i="7"/>
  <c r="P46" i="7"/>
  <c r="P45" i="7"/>
  <c r="P44" i="7"/>
  <c r="P43" i="7"/>
  <c r="P42" i="7"/>
  <c r="P41" i="7"/>
  <c r="P40" i="7"/>
  <c r="P39" i="7"/>
  <c r="P38" i="7"/>
  <c r="P37" i="7"/>
  <c r="P36" i="7"/>
  <c r="P35" i="7"/>
  <c r="P34" i="7"/>
  <c r="P33" i="7"/>
  <c r="P32" i="7"/>
  <c r="P31" i="7"/>
  <c r="P30" i="7"/>
  <c r="P29" i="7"/>
  <c r="P28" i="7"/>
  <c r="P27" i="7"/>
  <c r="P26" i="7"/>
  <c r="P25" i="7"/>
  <c r="P24" i="7"/>
  <c r="P23" i="7"/>
  <c r="P22" i="7"/>
  <c r="P21" i="7"/>
  <c r="P20" i="7"/>
  <c r="P19" i="7"/>
  <c r="P18" i="7"/>
  <c r="P17" i="7"/>
  <c r="P16" i="7"/>
  <c r="P15" i="7"/>
  <c r="P14" i="7"/>
  <c r="P13" i="7"/>
  <c r="P12" i="7"/>
  <c r="P11" i="7"/>
  <c r="P10" i="7"/>
  <c r="P9" i="7"/>
  <c r="P8" i="7"/>
  <c r="P7" i="7"/>
  <c r="P6" i="7"/>
  <c r="P5" i="7"/>
  <c r="P4" i="7"/>
  <c r="P3" i="7"/>
  <c r="P2" i="7"/>
  <c r="AO18" i="1" l="1"/>
  <c r="AE194" i="1"/>
  <c r="AE4" i="1"/>
  <c r="AE192" i="1" s="1"/>
  <c r="AM18" i="1" s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U18" i="1" l="1"/>
  <c r="AE191" i="1"/>
  <c r="AE190" i="1"/>
  <c r="AL18" i="1" s="1"/>
  <c r="AE193" i="1"/>
  <c r="AN18" i="1" s="1"/>
  <c r="AE189" i="1"/>
  <c r="AK18" i="1" s="1"/>
  <c r="AO3" i="1"/>
  <c r="AO17" i="1"/>
  <c r="AO16" i="1"/>
  <c r="AO15" i="1"/>
  <c r="AO14" i="1"/>
  <c r="AO13" i="1"/>
  <c r="AO12" i="1"/>
  <c r="AO11" i="1"/>
  <c r="AO10" i="1"/>
  <c r="AO9" i="1"/>
  <c r="AO8" i="1"/>
  <c r="AO7" i="1"/>
  <c r="AO6" i="1"/>
  <c r="AO5" i="1"/>
  <c r="AO4" i="1"/>
  <c r="AE195" i="1" l="1"/>
  <c r="S189" i="1"/>
  <c r="S190" i="1"/>
  <c r="S191" i="1"/>
  <c r="S192" i="1"/>
  <c r="AN12" i="1" s="1"/>
  <c r="S193" i="1"/>
  <c r="S194" i="1"/>
  <c r="S195" i="1" s="1"/>
  <c r="S196" i="1" s="1"/>
  <c r="C194" i="1"/>
  <c r="E194" i="1"/>
  <c r="G194" i="1"/>
  <c r="I194" i="1"/>
  <c r="K194" i="1"/>
  <c r="M194" i="1"/>
  <c r="O194" i="1"/>
  <c r="Q194" i="1"/>
  <c r="U194" i="1"/>
  <c r="W194" i="1"/>
  <c r="Y194" i="1"/>
  <c r="AA194" i="1"/>
  <c r="AC194" i="1"/>
  <c r="A194" i="1"/>
  <c r="C193" i="1"/>
  <c r="E193" i="1"/>
  <c r="G193" i="1"/>
  <c r="I193" i="1"/>
  <c r="K193" i="1"/>
  <c r="M193" i="1"/>
  <c r="O193" i="1"/>
  <c r="Q193" i="1"/>
  <c r="U193" i="1"/>
  <c r="W193" i="1"/>
  <c r="Y193" i="1"/>
  <c r="AA193" i="1"/>
  <c r="AC193" i="1"/>
  <c r="A193" i="1"/>
  <c r="C192" i="1"/>
  <c r="AN4" i="1" s="1"/>
  <c r="E192" i="1"/>
  <c r="AN5" i="1" s="1"/>
  <c r="G192" i="1"/>
  <c r="AN6" i="1" s="1"/>
  <c r="I192" i="1"/>
  <c r="AN7" i="1" s="1"/>
  <c r="K192" i="1"/>
  <c r="AN8" i="1" s="1"/>
  <c r="M192" i="1"/>
  <c r="AN9" i="1" s="1"/>
  <c r="O192" i="1"/>
  <c r="AN10" i="1" s="1"/>
  <c r="Q192" i="1"/>
  <c r="AN11" i="1" s="1"/>
  <c r="U192" i="1"/>
  <c r="AN13" i="1" s="1"/>
  <c r="W192" i="1"/>
  <c r="AN14" i="1" s="1"/>
  <c r="Y192" i="1"/>
  <c r="AN15" i="1" s="1"/>
  <c r="AA192" i="1"/>
  <c r="AN16" i="1" s="1"/>
  <c r="AC192" i="1"/>
  <c r="AN17" i="1" s="1"/>
  <c r="A192" i="1"/>
  <c r="AN3" i="1" s="1"/>
  <c r="AU17" i="1"/>
  <c r="AU16" i="1"/>
  <c r="AU15" i="1"/>
  <c r="AU14" i="1"/>
  <c r="AU13" i="1"/>
  <c r="AU12" i="1"/>
  <c r="AU11" i="1"/>
  <c r="AU10" i="1"/>
  <c r="AU9" i="1"/>
  <c r="AU8" i="1"/>
  <c r="AU7" i="1"/>
  <c r="AU5" i="1"/>
  <c r="AU6" i="1"/>
  <c r="AU4" i="1"/>
  <c r="AU3" i="1"/>
  <c r="AM12" i="1"/>
  <c r="AK6" i="1"/>
  <c r="C189" i="1"/>
  <c r="AK4" i="1" s="1"/>
  <c r="E189" i="1"/>
  <c r="AK5" i="1" s="1"/>
  <c r="G189" i="1"/>
  <c r="I189" i="1"/>
  <c r="AK7" i="1" s="1"/>
  <c r="K189" i="1"/>
  <c r="AK8" i="1" s="1"/>
  <c r="M189" i="1"/>
  <c r="AK9" i="1" s="1"/>
  <c r="O189" i="1"/>
  <c r="AK10" i="1" s="1"/>
  <c r="Q189" i="1"/>
  <c r="AK11" i="1" s="1"/>
  <c r="AK12" i="1"/>
  <c r="U189" i="1"/>
  <c r="AK13" i="1" s="1"/>
  <c r="W189" i="1"/>
  <c r="AK14" i="1" s="1"/>
  <c r="Y189" i="1"/>
  <c r="AK15" i="1" s="1"/>
  <c r="AA189" i="1"/>
  <c r="AK16" i="1" s="1"/>
  <c r="AC189" i="1"/>
  <c r="AK17" i="1" s="1"/>
  <c r="C190" i="1"/>
  <c r="AL4" i="1" s="1"/>
  <c r="E190" i="1"/>
  <c r="AL5" i="1" s="1"/>
  <c r="G190" i="1"/>
  <c r="AL6" i="1" s="1"/>
  <c r="I190" i="1"/>
  <c r="AL7" i="1" s="1"/>
  <c r="K190" i="1"/>
  <c r="AL8" i="1" s="1"/>
  <c r="M190" i="1"/>
  <c r="AL9" i="1" s="1"/>
  <c r="O190" i="1"/>
  <c r="AL10" i="1" s="1"/>
  <c r="Q190" i="1"/>
  <c r="AL11" i="1" s="1"/>
  <c r="AL12" i="1"/>
  <c r="U190" i="1"/>
  <c r="AL13" i="1" s="1"/>
  <c r="W190" i="1"/>
  <c r="AL14" i="1" s="1"/>
  <c r="Y190" i="1"/>
  <c r="AL15" i="1" s="1"/>
  <c r="AA190" i="1"/>
  <c r="AL16" i="1" s="1"/>
  <c r="AC190" i="1"/>
  <c r="AL17" i="1" s="1"/>
  <c r="C191" i="1"/>
  <c r="AM4" i="1" s="1"/>
  <c r="E191" i="1"/>
  <c r="AM5" i="1" s="1"/>
  <c r="G191" i="1"/>
  <c r="AM6" i="1" s="1"/>
  <c r="I191" i="1"/>
  <c r="AM7" i="1" s="1"/>
  <c r="K191" i="1"/>
  <c r="AM8" i="1" s="1"/>
  <c r="M191" i="1"/>
  <c r="AM9" i="1" s="1"/>
  <c r="O191" i="1"/>
  <c r="AM10" i="1" s="1"/>
  <c r="Q191" i="1"/>
  <c r="AM11" i="1" s="1"/>
  <c r="U191" i="1"/>
  <c r="AM13" i="1" s="1"/>
  <c r="W191" i="1"/>
  <c r="AM14" i="1" s="1"/>
  <c r="Y191" i="1"/>
  <c r="AM15" i="1" s="1"/>
  <c r="AA191" i="1"/>
  <c r="AM16" i="1" s="1"/>
  <c r="AC191" i="1"/>
  <c r="AM17" i="1" s="1"/>
  <c r="A191" i="1"/>
  <c r="AM3" i="1" s="1"/>
  <c r="A190" i="1"/>
  <c r="AL3" i="1" s="1"/>
  <c r="A189" i="1"/>
  <c r="AK3" i="1" s="1"/>
  <c r="AE197" i="1" l="1"/>
  <c r="AE196" i="1"/>
  <c r="S197" i="1"/>
  <c r="AC195" i="1"/>
  <c r="AC196" i="1" s="1"/>
  <c r="Y195" i="1"/>
  <c r="Y196" i="1" s="1"/>
  <c r="G195" i="1"/>
  <c r="G197" i="1" s="1"/>
  <c r="K196" i="1"/>
  <c r="I195" i="1"/>
  <c r="I197" i="1" s="1"/>
  <c r="W195" i="1"/>
  <c r="W197" i="1" s="1"/>
  <c r="E195" i="1"/>
  <c r="E196" i="1" s="1"/>
  <c r="U195" i="1"/>
  <c r="U196" i="1" s="1"/>
  <c r="AA195" i="1"/>
  <c r="AA196" i="1" s="1"/>
  <c r="K195" i="1"/>
  <c r="K197" i="1" s="1"/>
  <c r="A195" i="1"/>
  <c r="A197" i="1" s="1"/>
  <c r="M195" i="1"/>
  <c r="M196" i="1" s="1"/>
  <c r="C195" i="1"/>
  <c r="C197" i="1" s="1"/>
  <c r="Q195" i="1"/>
  <c r="Q197" i="1" s="1"/>
  <c r="O195" i="1"/>
  <c r="O196" i="1" s="1"/>
  <c r="W196" i="1"/>
  <c r="L8" i="1" l="1"/>
  <c r="L12" i="1"/>
  <c r="L20" i="1"/>
  <c r="L28" i="1"/>
  <c r="L36" i="1"/>
  <c r="L44" i="1"/>
  <c r="L52" i="1"/>
  <c r="L60" i="1"/>
  <c r="L68" i="1"/>
  <c r="L76" i="1"/>
  <c r="L84" i="1"/>
  <c r="L92" i="1"/>
  <c r="L100" i="1"/>
  <c r="L108" i="1"/>
  <c r="L116" i="1"/>
  <c r="L124" i="1"/>
  <c r="L132" i="1"/>
  <c r="L140" i="1"/>
  <c r="L148" i="1"/>
  <c r="L156" i="1"/>
  <c r="L164" i="1"/>
  <c r="L172" i="1"/>
  <c r="L180" i="1"/>
  <c r="L3" i="1"/>
  <c r="L9" i="1"/>
  <c r="L25" i="1"/>
  <c r="L57" i="1"/>
  <c r="L73" i="1"/>
  <c r="L113" i="1"/>
  <c r="L129" i="1"/>
  <c r="L169" i="1"/>
  <c r="L91" i="1"/>
  <c r="L171" i="1"/>
  <c r="L4" i="1"/>
  <c r="L13" i="1"/>
  <c r="L21" i="1"/>
  <c r="L29" i="1"/>
  <c r="L37" i="1"/>
  <c r="L45" i="1"/>
  <c r="L53" i="1"/>
  <c r="L61" i="1"/>
  <c r="L69" i="1"/>
  <c r="L77" i="1"/>
  <c r="L85" i="1"/>
  <c r="L93" i="1"/>
  <c r="L101" i="1"/>
  <c r="L109" i="1"/>
  <c r="L117" i="1"/>
  <c r="L125" i="1"/>
  <c r="L133" i="1"/>
  <c r="L141" i="1"/>
  <c r="L149" i="1"/>
  <c r="L157" i="1"/>
  <c r="L165" i="1"/>
  <c r="L173" i="1"/>
  <c r="L181" i="1"/>
  <c r="L41" i="1"/>
  <c r="L89" i="1"/>
  <c r="L137" i="1"/>
  <c r="L177" i="1"/>
  <c r="L83" i="1"/>
  <c r="L147" i="1"/>
  <c r="L5" i="1"/>
  <c r="L14" i="1"/>
  <c r="L22" i="1"/>
  <c r="L30" i="1"/>
  <c r="L38" i="1"/>
  <c r="L46" i="1"/>
  <c r="L54" i="1"/>
  <c r="L62" i="1"/>
  <c r="L70" i="1"/>
  <c r="L78" i="1"/>
  <c r="L86" i="1"/>
  <c r="L94" i="1"/>
  <c r="L102" i="1"/>
  <c r="L110" i="1"/>
  <c r="L118" i="1"/>
  <c r="L126" i="1"/>
  <c r="L134" i="1"/>
  <c r="L142" i="1"/>
  <c r="L150" i="1"/>
  <c r="L158" i="1"/>
  <c r="L166" i="1"/>
  <c r="L174" i="1"/>
  <c r="L182" i="1"/>
  <c r="L17" i="1"/>
  <c r="L153" i="1"/>
  <c r="L19" i="1"/>
  <c r="L115" i="1"/>
  <c r="L155" i="1"/>
  <c r="L6" i="1"/>
  <c r="L15" i="1"/>
  <c r="L23" i="1"/>
  <c r="L31" i="1"/>
  <c r="L39" i="1"/>
  <c r="L47" i="1"/>
  <c r="L55" i="1"/>
  <c r="L63" i="1"/>
  <c r="L71" i="1"/>
  <c r="L79" i="1"/>
  <c r="L87" i="1"/>
  <c r="L95" i="1"/>
  <c r="L103" i="1"/>
  <c r="L111" i="1"/>
  <c r="L119" i="1"/>
  <c r="L127" i="1"/>
  <c r="L135" i="1"/>
  <c r="L143" i="1"/>
  <c r="L151" i="1"/>
  <c r="L159" i="1"/>
  <c r="L167" i="1"/>
  <c r="L175" i="1"/>
  <c r="L183" i="1"/>
  <c r="L49" i="1"/>
  <c r="L97" i="1"/>
  <c r="L145" i="1"/>
  <c r="L185" i="1"/>
  <c r="L75" i="1"/>
  <c r="L123" i="1"/>
  <c r="L139" i="1"/>
  <c r="L187" i="1"/>
  <c r="L7" i="1"/>
  <c r="L16" i="1"/>
  <c r="L24" i="1"/>
  <c r="L32" i="1"/>
  <c r="L40" i="1"/>
  <c r="L48" i="1"/>
  <c r="L56" i="1"/>
  <c r="L64" i="1"/>
  <c r="L72" i="1"/>
  <c r="L80" i="1"/>
  <c r="L88" i="1"/>
  <c r="L96" i="1"/>
  <c r="L104" i="1"/>
  <c r="L112" i="1"/>
  <c r="L120" i="1"/>
  <c r="L128" i="1"/>
  <c r="L136" i="1"/>
  <c r="L144" i="1"/>
  <c r="L152" i="1"/>
  <c r="L160" i="1"/>
  <c r="L168" i="1"/>
  <c r="L176" i="1"/>
  <c r="L184" i="1"/>
  <c r="L33" i="1"/>
  <c r="L65" i="1"/>
  <c r="L81" i="1"/>
  <c r="L105" i="1"/>
  <c r="L121" i="1"/>
  <c r="L161" i="1"/>
  <c r="L107" i="1"/>
  <c r="L179" i="1"/>
  <c r="L10" i="1"/>
  <c r="L18" i="1"/>
  <c r="L26" i="1"/>
  <c r="L34" i="1"/>
  <c r="L42" i="1"/>
  <c r="L50" i="1"/>
  <c r="L58" i="1"/>
  <c r="L66" i="1"/>
  <c r="L74" i="1"/>
  <c r="L82" i="1"/>
  <c r="L90" i="1"/>
  <c r="L98" i="1"/>
  <c r="L106" i="1"/>
  <c r="L114" i="1"/>
  <c r="L122" i="1"/>
  <c r="L130" i="1"/>
  <c r="L138" i="1"/>
  <c r="L146" i="1"/>
  <c r="L154" i="1"/>
  <c r="L162" i="1"/>
  <c r="L170" i="1"/>
  <c r="L178" i="1"/>
  <c r="L186" i="1"/>
  <c r="L11" i="1"/>
  <c r="L27" i="1"/>
  <c r="L35" i="1"/>
  <c r="L43" i="1"/>
  <c r="L51" i="1"/>
  <c r="L59" i="1"/>
  <c r="L67" i="1"/>
  <c r="L99" i="1"/>
  <c r="L131" i="1"/>
  <c r="L163" i="1"/>
  <c r="G196" i="1"/>
  <c r="H5" i="1" s="1"/>
  <c r="H20" i="1"/>
  <c r="H28" i="1"/>
  <c r="H44" i="1"/>
  <c r="H52" i="1"/>
  <c r="H60" i="1"/>
  <c r="H84" i="1"/>
  <c r="H92" i="1"/>
  <c r="H108" i="1"/>
  <c r="H116" i="1"/>
  <c r="H124" i="1"/>
  <c r="H132" i="1"/>
  <c r="H140" i="1"/>
  <c r="H148" i="1"/>
  <c r="H156" i="1"/>
  <c r="H172" i="1"/>
  <c r="H180" i="1"/>
  <c r="H3" i="1"/>
  <c r="H17" i="1"/>
  <c r="H49" i="1"/>
  <c r="H73" i="1"/>
  <c r="H105" i="1"/>
  <c r="H161" i="1"/>
  <c r="H185" i="1"/>
  <c r="H35" i="1"/>
  <c r="H83" i="1"/>
  <c r="H139" i="1"/>
  <c r="H187" i="1"/>
  <c r="H4" i="1"/>
  <c r="H21" i="1"/>
  <c r="H29" i="1"/>
  <c r="H37" i="1"/>
  <c r="H45" i="1"/>
  <c r="H53" i="1"/>
  <c r="H61" i="1"/>
  <c r="H69" i="1"/>
  <c r="H85" i="1"/>
  <c r="H93" i="1"/>
  <c r="H101" i="1"/>
  <c r="H109" i="1"/>
  <c r="H117" i="1"/>
  <c r="H125" i="1"/>
  <c r="H133" i="1"/>
  <c r="H149" i="1"/>
  <c r="H157" i="1"/>
  <c r="H165" i="1"/>
  <c r="H173" i="1"/>
  <c r="H181" i="1"/>
  <c r="H33" i="1"/>
  <c r="H81" i="1"/>
  <c r="H19" i="1"/>
  <c r="H75" i="1"/>
  <c r="H147" i="1"/>
  <c r="H6" i="1"/>
  <c r="H14" i="1"/>
  <c r="H22" i="1"/>
  <c r="H30" i="1"/>
  <c r="H46" i="1"/>
  <c r="H54" i="1"/>
  <c r="H62" i="1"/>
  <c r="H70" i="1"/>
  <c r="H78" i="1"/>
  <c r="H86" i="1"/>
  <c r="H94" i="1"/>
  <c r="H102" i="1"/>
  <c r="H110" i="1"/>
  <c r="H118" i="1"/>
  <c r="H126" i="1"/>
  <c r="H134" i="1"/>
  <c r="H142" i="1"/>
  <c r="H150" i="1"/>
  <c r="H158" i="1"/>
  <c r="H166" i="1"/>
  <c r="H174" i="1"/>
  <c r="H182" i="1"/>
  <c r="H57" i="1"/>
  <c r="H145" i="1"/>
  <c r="H43" i="1"/>
  <c r="H115" i="1"/>
  <c r="H179" i="1"/>
  <c r="H7" i="1"/>
  <c r="H15" i="1"/>
  <c r="H23" i="1"/>
  <c r="H31" i="1"/>
  <c r="H39" i="1"/>
  <c r="H47" i="1"/>
  <c r="H55" i="1"/>
  <c r="H63" i="1"/>
  <c r="H71" i="1"/>
  <c r="H79" i="1"/>
  <c r="H87" i="1"/>
  <c r="H95" i="1"/>
  <c r="H103" i="1"/>
  <c r="H111" i="1"/>
  <c r="H119" i="1"/>
  <c r="H127" i="1"/>
  <c r="H135" i="1"/>
  <c r="H143" i="1"/>
  <c r="H151" i="1"/>
  <c r="H159" i="1"/>
  <c r="H167" i="1"/>
  <c r="H175" i="1"/>
  <c r="H183" i="1"/>
  <c r="H41" i="1"/>
  <c r="H89" i="1"/>
  <c r="H129" i="1"/>
  <c r="H177" i="1"/>
  <c r="H27" i="1"/>
  <c r="H67" i="1"/>
  <c r="H107" i="1"/>
  <c r="H131" i="1"/>
  <c r="H171" i="1"/>
  <c r="H8" i="1"/>
  <c r="H16" i="1"/>
  <c r="H24" i="1"/>
  <c r="H32" i="1"/>
  <c r="H40" i="1"/>
  <c r="H48" i="1"/>
  <c r="H56" i="1"/>
  <c r="H64" i="1"/>
  <c r="H72" i="1"/>
  <c r="H80" i="1"/>
  <c r="H88" i="1"/>
  <c r="H96" i="1"/>
  <c r="H104" i="1"/>
  <c r="H112" i="1"/>
  <c r="H120" i="1"/>
  <c r="H128" i="1"/>
  <c r="H136" i="1"/>
  <c r="H144" i="1"/>
  <c r="H152" i="1"/>
  <c r="H160" i="1"/>
  <c r="H168" i="1"/>
  <c r="H176" i="1"/>
  <c r="H184" i="1"/>
  <c r="H9" i="1"/>
  <c r="H25" i="1"/>
  <c r="H65" i="1"/>
  <c r="H97" i="1"/>
  <c r="H113" i="1"/>
  <c r="H153" i="1"/>
  <c r="H169" i="1"/>
  <c r="H51" i="1"/>
  <c r="H99" i="1"/>
  <c r="H155" i="1"/>
  <c r="H10" i="1"/>
  <c r="H18" i="1"/>
  <c r="H26" i="1"/>
  <c r="H34" i="1"/>
  <c r="H42" i="1"/>
  <c r="H50" i="1"/>
  <c r="H58" i="1"/>
  <c r="H66" i="1"/>
  <c r="H74" i="1"/>
  <c r="H82" i="1"/>
  <c r="H90" i="1"/>
  <c r="H98" i="1"/>
  <c r="H106" i="1"/>
  <c r="H114" i="1"/>
  <c r="H122" i="1"/>
  <c r="H130" i="1"/>
  <c r="H138" i="1"/>
  <c r="H146" i="1"/>
  <c r="H154" i="1"/>
  <c r="H162" i="1"/>
  <c r="H170" i="1"/>
  <c r="H178" i="1"/>
  <c r="H186" i="1"/>
  <c r="H11" i="1"/>
  <c r="H59" i="1"/>
  <c r="H91" i="1"/>
  <c r="H123" i="1"/>
  <c r="H163" i="1"/>
  <c r="T4" i="1"/>
  <c r="T13" i="1"/>
  <c r="T21" i="1"/>
  <c r="T29" i="1"/>
  <c r="T37" i="1"/>
  <c r="T45" i="1"/>
  <c r="T53" i="1"/>
  <c r="T61" i="1"/>
  <c r="T69" i="1"/>
  <c r="T77" i="1"/>
  <c r="T85" i="1"/>
  <c r="T93" i="1"/>
  <c r="T101" i="1"/>
  <c r="T109" i="1"/>
  <c r="T117" i="1"/>
  <c r="T125" i="1"/>
  <c r="T5" i="1"/>
  <c r="T7" i="1"/>
  <c r="T6" i="1"/>
  <c r="T15" i="1"/>
  <c r="T23" i="1"/>
  <c r="T31" i="1"/>
  <c r="T39" i="1"/>
  <c r="T47" i="1"/>
  <c r="T55" i="1"/>
  <c r="T63" i="1"/>
  <c r="T71" i="1"/>
  <c r="T79" i="1"/>
  <c r="T87" i="1"/>
  <c r="T95" i="1"/>
  <c r="T103" i="1"/>
  <c r="T111" i="1"/>
  <c r="T119" i="1"/>
  <c r="T127" i="1"/>
  <c r="T135" i="1"/>
  <c r="T143" i="1"/>
  <c r="T151" i="1"/>
  <c r="T159" i="1"/>
  <c r="T8" i="1"/>
  <c r="T16" i="1"/>
  <c r="T24" i="1"/>
  <c r="T32" i="1"/>
  <c r="T40" i="1"/>
  <c r="T48" i="1"/>
  <c r="T56" i="1"/>
  <c r="T64" i="1"/>
  <c r="T72" i="1"/>
  <c r="T80" i="1"/>
  <c r="T88" i="1"/>
  <c r="T96" i="1"/>
  <c r="T104" i="1"/>
  <c r="T112" i="1"/>
  <c r="T120" i="1"/>
  <c r="T128" i="1"/>
  <c r="T11" i="1"/>
  <c r="T19" i="1"/>
  <c r="T27" i="1"/>
  <c r="T35" i="1"/>
  <c r="T43" i="1"/>
  <c r="T51" i="1"/>
  <c r="T59" i="1"/>
  <c r="T67" i="1"/>
  <c r="T75" i="1"/>
  <c r="T83" i="1"/>
  <c r="T91" i="1"/>
  <c r="T99" i="1"/>
  <c r="T107" i="1"/>
  <c r="T115" i="1"/>
  <c r="T123" i="1"/>
  <c r="T131" i="1"/>
  <c r="T139" i="1"/>
  <c r="T147" i="1"/>
  <c r="T155" i="1"/>
  <c r="T22" i="1"/>
  <c r="T38" i="1"/>
  <c r="T54" i="1"/>
  <c r="T70" i="1"/>
  <c r="T86" i="1"/>
  <c r="T102" i="1"/>
  <c r="T118" i="1"/>
  <c r="T133" i="1"/>
  <c r="T144" i="1"/>
  <c r="T154" i="1"/>
  <c r="T164" i="1"/>
  <c r="T172" i="1"/>
  <c r="T180" i="1"/>
  <c r="T3" i="1"/>
  <c r="T9" i="1"/>
  <c r="T25" i="1"/>
  <c r="T41" i="1"/>
  <c r="T57" i="1"/>
  <c r="T73" i="1"/>
  <c r="T89" i="1"/>
  <c r="T105" i="1"/>
  <c r="T121" i="1"/>
  <c r="T134" i="1"/>
  <c r="T145" i="1"/>
  <c r="T156" i="1"/>
  <c r="T165" i="1"/>
  <c r="T173" i="1"/>
  <c r="T181" i="1"/>
  <c r="T10" i="1"/>
  <c r="T26" i="1"/>
  <c r="T42" i="1"/>
  <c r="T58" i="1"/>
  <c r="T74" i="1"/>
  <c r="T90" i="1"/>
  <c r="T106" i="1"/>
  <c r="T122" i="1"/>
  <c r="T136" i="1"/>
  <c r="T146" i="1"/>
  <c r="T157" i="1"/>
  <c r="T166" i="1"/>
  <c r="T174" i="1"/>
  <c r="T182" i="1"/>
  <c r="T12" i="1"/>
  <c r="T28" i="1"/>
  <c r="T44" i="1"/>
  <c r="T60" i="1"/>
  <c r="T76" i="1"/>
  <c r="T92" i="1"/>
  <c r="T108" i="1"/>
  <c r="T124" i="1"/>
  <c r="T137" i="1"/>
  <c r="T148" i="1"/>
  <c r="T158" i="1"/>
  <c r="T167" i="1"/>
  <c r="T175" i="1"/>
  <c r="T183" i="1"/>
  <c r="T14" i="1"/>
  <c r="T30" i="1"/>
  <c r="T46" i="1"/>
  <c r="T62" i="1"/>
  <c r="T78" i="1"/>
  <c r="T94" i="1"/>
  <c r="T110" i="1"/>
  <c r="T126" i="1"/>
  <c r="T138" i="1"/>
  <c r="T149" i="1"/>
  <c r="T160" i="1"/>
  <c r="T168" i="1"/>
  <c r="T176" i="1"/>
  <c r="T184" i="1"/>
  <c r="T18" i="1"/>
  <c r="T34" i="1"/>
  <c r="T50" i="1"/>
  <c r="T66" i="1"/>
  <c r="T82" i="1"/>
  <c r="T98" i="1"/>
  <c r="T114" i="1"/>
  <c r="T130" i="1"/>
  <c r="T141" i="1"/>
  <c r="T152" i="1"/>
  <c r="T162" i="1"/>
  <c r="T170" i="1"/>
  <c r="T178" i="1"/>
  <c r="T186" i="1"/>
  <c r="T49" i="1"/>
  <c r="T113" i="1"/>
  <c r="T161" i="1"/>
  <c r="T20" i="1"/>
  <c r="T142" i="1"/>
  <c r="T52" i="1"/>
  <c r="T116" i="1"/>
  <c r="T163" i="1"/>
  <c r="T65" i="1"/>
  <c r="T129" i="1"/>
  <c r="T169" i="1"/>
  <c r="T68" i="1"/>
  <c r="T132" i="1"/>
  <c r="T171" i="1"/>
  <c r="T17" i="1"/>
  <c r="T81" i="1"/>
  <c r="T140" i="1"/>
  <c r="T177" i="1"/>
  <c r="T84" i="1"/>
  <c r="T179" i="1"/>
  <c r="T33" i="1"/>
  <c r="T97" i="1"/>
  <c r="T150" i="1"/>
  <c r="T185" i="1"/>
  <c r="T36" i="1"/>
  <c r="T100" i="1"/>
  <c r="T153" i="1"/>
  <c r="T187" i="1"/>
  <c r="M197" i="1"/>
  <c r="X6" i="1"/>
  <c r="X14" i="1"/>
  <c r="X22" i="1"/>
  <c r="X30" i="1"/>
  <c r="X38" i="1"/>
  <c r="X46" i="1"/>
  <c r="X54" i="1"/>
  <c r="X62" i="1"/>
  <c r="X70" i="1"/>
  <c r="X78" i="1"/>
  <c r="X86" i="1"/>
  <c r="X94" i="1"/>
  <c r="X102" i="1"/>
  <c r="X7" i="1"/>
  <c r="X15" i="1"/>
  <c r="X23" i="1"/>
  <c r="X31" i="1"/>
  <c r="X39" i="1"/>
  <c r="X47" i="1"/>
  <c r="X55" i="1"/>
  <c r="X63" i="1"/>
  <c r="X71" i="1"/>
  <c r="X79" i="1"/>
  <c r="X87" i="1"/>
  <c r="X95" i="1"/>
  <c r="X103" i="1"/>
  <c r="X8" i="1"/>
  <c r="X16" i="1"/>
  <c r="X24" i="1"/>
  <c r="X32" i="1"/>
  <c r="X40" i="1"/>
  <c r="X48" i="1"/>
  <c r="X56" i="1"/>
  <c r="X64" i="1"/>
  <c r="X72" i="1"/>
  <c r="X80" i="1"/>
  <c r="X88" i="1"/>
  <c r="X96" i="1"/>
  <c r="X104" i="1"/>
  <c r="X11" i="1"/>
  <c r="X19" i="1"/>
  <c r="X27" i="1"/>
  <c r="X35" i="1"/>
  <c r="X43" i="1"/>
  <c r="X51" i="1"/>
  <c r="X59" i="1"/>
  <c r="X67" i="1"/>
  <c r="X75" i="1"/>
  <c r="X83" i="1"/>
  <c r="X91" i="1"/>
  <c r="X99" i="1"/>
  <c r="X17" i="1"/>
  <c r="X33" i="1"/>
  <c r="X49" i="1"/>
  <c r="X65" i="1"/>
  <c r="X81" i="1"/>
  <c r="X97" i="1"/>
  <c r="X109" i="1"/>
  <c r="X117" i="1"/>
  <c r="X125" i="1"/>
  <c r="X133" i="1"/>
  <c r="X141" i="1"/>
  <c r="X149" i="1"/>
  <c r="X157" i="1"/>
  <c r="X165" i="1"/>
  <c r="X173" i="1"/>
  <c r="X181" i="1"/>
  <c r="X18" i="1"/>
  <c r="X34" i="1"/>
  <c r="X50" i="1"/>
  <c r="X66" i="1"/>
  <c r="X82" i="1"/>
  <c r="X98" i="1"/>
  <c r="X110" i="1"/>
  <c r="X118" i="1"/>
  <c r="X126" i="1"/>
  <c r="X134" i="1"/>
  <c r="X142" i="1"/>
  <c r="X150" i="1"/>
  <c r="X158" i="1"/>
  <c r="X166" i="1"/>
  <c r="X174" i="1"/>
  <c r="X182" i="1"/>
  <c r="X4" i="1"/>
  <c r="X20" i="1"/>
  <c r="X36" i="1"/>
  <c r="X52" i="1"/>
  <c r="X68" i="1"/>
  <c r="X84" i="1"/>
  <c r="X100" i="1"/>
  <c r="X111" i="1"/>
  <c r="X119" i="1"/>
  <c r="X127" i="1"/>
  <c r="X135" i="1"/>
  <c r="X143" i="1"/>
  <c r="X151" i="1"/>
  <c r="X159" i="1"/>
  <c r="X167" i="1"/>
  <c r="X175" i="1"/>
  <c r="X183" i="1"/>
  <c r="X5" i="1"/>
  <c r="X21" i="1"/>
  <c r="X37" i="1"/>
  <c r="X53" i="1"/>
  <c r="X69" i="1"/>
  <c r="X85" i="1"/>
  <c r="X101" i="1"/>
  <c r="X112" i="1"/>
  <c r="X120" i="1"/>
  <c r="X128" i="1"/>
  <c r="X136" i="1"/>
  <c r="X144" i="1"/>
  <c r="X152" i="1"/>
  <c r="X160" i="1"/>
  <c r="X168" i="1"/>
  <c r="X176" i="1"/>
  <c r="X184" i="1"/>
  <c r="X9" i="1"/>
  <c r="X25" i="1"/>
  <c r="X41" i="1"/>
  <c r="X57" i="1"/>
  <c r="X73" i="1"/>
  <c r="X89" i="1"/>
  <c r="X105" i="1"/>
  <c r="X113" i="1"/>
  <c r="X121" i="1"/>
  <c r="X129" i="1"/>
  <c r="X137" i="1"/>
  <c r="X145" i="1"/>
  <c r="X153" i="1"/>
  <c r="X161" i="1"/>
  <c r="X169" i="1"/>
  <c r="X177" i="1"/>
  <c r="X185" i="1"/>
  <c r="X12" i="1"/>
  <c r="X28" i="1"/>
  <c r="X44" i="1"/>
  <c r="X60" i="1"/>
  <c r="X76" i="1"/>
  <c r="X92" i="1"/>
  <c r="X107" i="1"/>
  <c r="X115" i="1"/>
  <c r="X123" i="1"/>
  <c r="X131" i="1"/>
  <c r="X139" i="1"/>
  <c r="X147" i="1"/>
  <c r="X155" i="1"/>
  <c r="X163" i="1"/>
  <c r="X171" i="1"/>
  <c r="X179" i="1"/>
  <c r="X187" i="1"/>
  <c r="X10" i="1"/>
  <c r="X74" i="1"/>
  <c r="X122" i="1"/>
  <c r="X154" i="1"/>
  <c r="X186" i="1"/>
  <c r="X13" i="1"/>
  <c r="X77" i="1"/>
  <c r="X124" i="1"/>
  <c r="X156" i="1"/>
  <c r="X3" i="1"/>
  <c r="X26" i="1"/>
  <c r="X90" i="1"/>
  <c r="X130" i="1"/>
  <c r="X162" i="1"/>
  <c r="X29" i="1"/>
  <c r="X93" i="1"/>
  <c r="X132" i="1"/>
  <c r="X164" i="1"/>
  <c r="X42" i="1"/>
  <c r="X106" i="1"/>
  <c r="X138" i="1"/>
  <c r="X170" i="1"/>
  <c r="X58" i="1"/>
  <c r="X114" i="1"/>
  <c r="X146" i="1"/>
  <c r="X178" i="1"/>
  <c r="X140" i="1"/>
  <c r="X61" i="1"/>
  <c r="X148" i="1"/>
  <c r="X172" i="1"/>
  <c r="X180" i="1"/>
  <c r="X45" i="1"/>
  <c r="X108" i="1"/>
  <c r="X116" i="1"/>
  <c r="AF60" i="1"/>
  <c r="AF124" i="1"/>
  <c r="AF3" i="1"/>
  <c r="AF137" i="1"/>
  <c r="AF187" i="1"/>
  <c r="AF61" i="1"/>
  <c r="AF157" i="1"/>
  <c r="AF54" i="1"/>
  <c r="AF118" i="1"/>
  <c r="AF182" i="1"/>
  <c r="AF65" i="1"/>
  <c r="AF145" i="1"/>
  <c r="AF51" i="1"/>
  <c r="AF179" i="1"/>
  <c r="AF63" i="1"/>
  <c r="AF127" i="1"/>
  <c r="AF7" i="1"/>
  <c r="AF72" i="1"/>
  <c r="AF136" i="1"/>
  <c r="AF17" i="1"/>
  <c r="AF82" i="1"/>
  <c r="AF146" i="1"/>
  <c r="AF147" i="1"/>
  <c r="AF30" i="1"/>
  <c r="AF68" i="1"/>
  <c r="AF132" i="1"/>
  <c r="AF101" i="1"/>
  <c r="AF153" i="1"/>
  <c r="AF4" i="1"/>
  <c r="AF69" i="1"/>
  <c r="AF173" i="1"/>
  <c r="AF62" i="1"/>
  <c r="AF126" i="1"/>
  <c r="AF8" i="1"/>
  <c r="AF73" i="1"/>
  <c r="AF161" i="1"/>
  <c r="AF59" i="1"/>
  <c r="AF6" i="1"/>
  <c r="AF71" i="1"/>
  <c r="AF135" i="1"/>
  <c r="AF15" i="1"/>
  <c r="AF80" i="1"/>
  <c r="AF144" i="1"/>
  <c r="AF25" i="1"/>
  <c r="AF90" i="1"/>
  <c r="AF154" i="1"/>
  <c r="AF171" i="1"/>
  <c r="AF116" i="1"/>
  <c r="AF163" i="1"/>
  <c r="AF46" i="1"/>
  <c r="AF174" i="1"/>
  <c r="AF129" i="1"/>
  <c r="AF155" i="1"/>
  <c r="AF183" i="1"/>
  <c r="AF128" i="1"/>
  <c r="AF138" i="1"/>
  <c r="AF11" i="1"/>
  <c r="AF76" i="1"/>
  <c r="AF140" i="1"/>
  <c r="AF125" i="1"/>
  <c r="AF169" i="1"/>
  <c r="AF12" i="1"/>
  <c r="AF77" i="1"/>
  <c r="AF5" i="1"/>
  <c r="AF70" i="1"/>
  <c r="AF134" i="1"/>
  <c r="AF16" i="1"/>
  <c r="AF81" i="1"/>
  <c r="AF185" i="1"/>
  <c r="AF67" i="1"/>
  <c r="AF14" i="1"/>
  <c r="AF79" i="1"/>
  <c r="AF143" i="1"/>
  <c r="AF23" i="1"/>
  <c r="AF88" i="1"/>
  <c r="AF152" i="1"/>
  <c r="AF34" i="1"/>
  <c r="AF98" i="1"/>
  <c r="AF162" i="1"/>
  <c r="AF180" i="1"/>
  <c r="AF119" i="1"/>
  <c r="AF74" i="1"/>
  <c r="AF19" i="1"/>
  <c r="AF84" i="1"/>
  <c r="AF148" i="1"/>
  <c r="AF141" i="1"/>
  <c r="AF177" i="1"/>
  <c r="AF20" i="1"/>
  <c r="AF85" i="1"/>
  <c r="AF13" i="1"/>
  <c r="AF78" i="1"/>
  <c r="AF142" i="1"/>
  <c r="AF24" i="1"/>
  <c r="AF89" i="1"/>
  <c r="AF10" i="1"/>
  <c r="AF91" i="1"/>
  <c r="AF22" i="1"/>
  <c r="AF87" i="1"/>
  <c r="AF151" i="1"/>
  <c r="AF32" i="1"/>
  <c r="AF96" i="1"/>
  <c r="AF160" i="1"/>
  <c r="AF42" i="1"/>
  <c r="AF106" i="1"/>
  <c r="AF170" i="1"/>
  <c r="AF52" i="1"/>
  <c r="AF105" i="1"/>
  <c r="AF53" i="1"/>
  <c r="AF133" i="1"/>
  <c r="AF110" i="1"/>
  <c r="AF57" i="1"/>
  <c r="AF43" i="1"/>
  <c r="AF55" i="1"/>
  <c r="AF64" i="1"/>
  <c r="AF9" i="1"/>
  <c r="AF123" i="1"/>
  <c r="AF27" i="1"/>
  <c r="AF92" i="1"/>
  <c r="AF156" i="1"/>
  <c r="AF149" i="1"/>
  <c r="AF83" i="1"/>
  <c r="AF28" i="1"/>
  <c r="AF93" i="1"/>
  <c r="AF21" i="1"/>
  <c r="AF86" i="1"/>
  <c r="AF150" i="1"/>
  <c r="AF33" i="1"/>
  <c r="AF97" i="1"/>
  <c r="AF18" i="1"/>
  <c r="AF99" i="1"/>
  <c r="AF31" i="1"/>
  <c r="AF95" i="1"/>
  <c r="AF159" i="1"/>
  <c r="AF40" i="1"/>
  <c r="AF104" i="1"/>
  <c r="AF168" i="1"/>
  <c r="AF50" i="1"/>
  <c r="AF114" i="1"/>
  <c r="AF178" i="1"/>
  <c r="AF36" i="1"/>
  <c r="AF100" i="1"/>
  <c r="AF164" i="1"/>
  <c r="AF165" i="1"/>
  <c r="AF115" i="1"/>
  <c r="AF37" i="1"/>
  <c r="AF109" i="1"/>
  <c r="AF29" i="1"/>
  <c r="AF94" i="1"/>
  <c r="AF158" i="1"/>
  <c r="AF41" i="1"/>
  <c r="AF113" i="1"/>
  <c r="AF26" i="1"/>
  <c r="AF107" i="1"/>
  <c r="AF39" i="1"/>
  <c r="AF103" i="1"/>
  <c r="AF167" i="1"/>
  <c r="AF48" i="1"/>
  <c r="AF112" i="1"/>
  <c r="AF176" i="1"/>
  <c r="AF58" i="1"/>
  <c r="AF122" i="1"/>
  <c r="AF186" i="1"/>
  <c r="AF44" i="1"/>
  <c r="AF108" i="1"/>
  <c r="AF172" i="1"/>
  <c r="AF181" i="1"/>
  <c r="AF139" i="1"/>
  <c r="AF45" i="1"/>
  <c r="AF117" i="1"/>
  <c r="AF38" i="1"/>
  <c r="AF102" i="1"/>
  <c r="AF166" i="1"/>
  <c r="AF49" i="1"/>
  <c r="AF121" i="1"/>
  <c r="AF35" i="1"/>
  <c r="AF131" i="1"/>
  <c r="AF47" i="1"/>
  <c r="AF111" i="1"/>
  <c r="AF175" i="1"/>
  <c r="AF56" i="1"/>
  <c r="AF120" i="1"/>
  <c r="AF184" i="1"/>
  <c r="AF66" i="1"/>
  <c r="AF130" i="1"/>
  <c r="AF75" i="1"/>
  <c r="I196" i="1"/>
  <c r="J25" i="1" s="1"/>
  <c r="A196" i="1"/>
  <c r="B181" i="1" s="1"/>
  <c r="AC197" i="1"/>
  <c r="Y197" i="1"/>
  <c r="C196" i="1"/>
  <c r="D187" i="1" s="1"/>
  <c r="AA197" i="1"/>
  <c r="B28" i="1"/>
  <c r="B52" i="1"/>
  <c r="B60" i="1"/>
  <c r="B124" i="1"/>
  <c r="B156" i="1"/>
  <c r="B17" i="1"/>
  <c r="B161" i="1"/>
  <c r="B171" i="1"/>
  <c r="B69" i="1"/>
  <c r="B77" i="1"/>
  <c r="B133" i="1"/>
  <c r="B141" i="1"/>
  <c r="B173" i="1"/>
  <c r="B54" i="1"/>
  <c r="B78" i="1"/>
  <c r="B118" i="1"/>
  <c r="B142" i="1"/>
  <c r="B150" i="1"/>
  <c r="B129" i="1"/>
  <c r="B23" i="1"/>
  <c r="B55" i="1"/>
  <c r="B87" i="1"/>
  <c r="B111" i="1"/>
  <c r="B175" i="1"/>
  <c r="B183" i="1"/>
  <c r="B16" i="1"/>
  <c r="B24" i="1"/>
  <c r="B56" i="1"/>
  <c r="B120" i="1"/>
  <c r="B144" i="1"/>
  <c r="B184" i="1"/>
  <c r="B73" i="1"/>
  <c r="B113" i="1"/>
  <c r="B50" i="1"/>
  <c r="B82" i="1"/>
  <c r="B114" i="1"/>
  <c r="B130" i="1"/>
  <c r="B146" i="1"/>
  <c r="B186" i="1"/>
  <c r="B11" i="1"/>
  <c r="B51" i="1"/>
  <c r="B59" i="1"/>
  <c r="B67" i="1"/>
  <c r="B123" i="1"/>
  <c r="B131" i="1"/>
  <c r="B147" i="1"/>
  <c r="B155" i="1"/>
  <c r="B163" i="1"/>
  <c r="E197" i="1"/>
  <c r="U197" i="1"/>
  <c r="Q196" i="1"/>
  <c r="R44" i="1" s="1"/>
  <c r="O197" i="1"/>
  <c r="R35" i="1" l="1"/>
  <c r="R185" i="1"/>
  <c r="R147" i="1"/>
  <c r="R81" i="1"/>
  <c r="R43" i="1"/>
  <c r="R41" i="1"/>
  <c r="R138" i="1"/>
  <c r="R74" i="1"/>
  <c r="R10" i="1"/>
  <c r="R128" i="1"/>
  <c r="R64" i="1"/>
  <c r="R183" i="1"/>
  <c r="R119" i="1"/>
  <c r="R55" i="1"/>
  <c r="R174" i="1"/>
  <c r="R110" i="1"/>
  <c r="R46" i="1"/>
  <c r="R165" i="1"/>
  <c r="R101" i="1"/>
  <c r="R37" i="1"/>
  <c r="R164" i="1"/>
  <c r="R100" i="1"/>
  <c r="R36" i="1"/>
  <c r="AP8" i="1"/>
  <c r="P6" i="1"/>
  <c r="P12" i="1"/>
  <c r="P20" i="1"/>
  <c r="P28" i="1"/>
  <c r="P36" i="1"/>
  <c r="P44" i="1"/>
  <c r="P52" i="1"/>
  <c r="P60" i="1"/>
  <c r="P68" i="1"/>
  <c r="P76" i="1"/>
  <c r="P84" i="1"/>
  <c r="P92" i="1"/>
  <c r="P100" i="1"/>
  <c r="P108" i="1"/>
  <c r="P116" i="1"/>
  <c r="P124" i="1"/>
  <c r="P132" i="1"/>
  <c r="P140" i="1"/>
  <c r="P148" i="1"/>
  <c r="P156" i="1"/>
  <c r="P164" i="1"/>
  <c r="P172" i="1"/>
  <c r="P180" i="1"/>
  <c r="P3" i="1"/>
  <c r="P4" i="1"/>
  <c r="P13" i="1"/>
  <c r="P21" i="1"/>
  <c r="P29" i="1"/>
  <c r="P37" i="1"/>
  <c r="P45" i="1"/>
  <c r="P53" i="1"/>
  <c r="P61" i="1"/>
  <c r="P69" i="1"/>
  <c r="P77" i="1"/>
  <c r="P85" i="1"/>
  <c r="P93" i="1"/>
  <c r="P101" i="1"/>
  <c r="P109" i="1"/>
  <c r="P117" i="1"/>
  <c r="P125" i="1"/>
  <c r="P133" i="1"/>
  <c r="P141" i="1"/>
  <c r="P149" i="1"/>
  <c r="P157" i="1"/>
  <c r="P165" i="1"/>
  <c r="P173" i="1"/>
  <c r="P181" i="1"/>
  <c r="P5" i="1"/>
  <c r="P14" i="1"/>
  <c r="P22" i="1"/>
  <c r="P30" i="1"/>
  <c r="P38" i="1"/>
  <c r="P46" i="1"/>
  <c r="P54" i="1"/>
  <c r="P62" i="1"/>
  <c r="P70" i="1"/>
  <c r="P78" i="1"/>
  <c r="P86" i="1"/>
  <c r="P94" i="1"/>
  <c r="P102" i="1"/>
  <c r="P110" i="1"/>
  <c r="P118" i="1"/>
  <c r="P126" i="1"/>
  <c r="P134" i="1"/>
  <c r="P142" i="1"/>
  <c r="P150" i="1"/>
  <c r="P158" i="1"/>
  <c r="P166" i="1"/>
  <c r="P174" i="1"/>
  <c r="P182" i="1"/>
  <c r="P7" i="1"/>
  <c r="P15" i="1"/>
  <c r="P23" i="1"/>
  <c r="P31" i="1"/>
  <c r="P39" i="1"/>
  <c r="P47" i="1"/>
  <c r="P55" i="1"/>
  <c r="P63" i="1"/>
  <c r="P71" i="1"/>
  <c r="P79" i="1"/>
  <c r="P87" i="1"/>
  <c r="P95" i="1"/>
  <c r="P103" i="1"/>
  <c r="P111" i="1"/>
  <c r="P119" i="1"/>
  <c r="P127" i="1"/>
  <c r="P135" i="1"/>
  <c r="P143" i="1"/>
  <c r="P151" i="1"/>
  <c r="P159" i="1"/>
  <c r="P167" i="1"/>
  <c r="P175" i="1"/>
  <c r="P183" i="1"/>
  <c r="P8" i="1"/>
  <c r="P16" i="1"/>
  <c r="P24" i="1"/>
  <c r="P32" i="1"/>
  <c r="P40" i="1"/>
  <c r="P48" i="1"/>
  <c r="P56" i="1"/>
  <c r="P64" i="1"/>
  <c r="P72" i="1"/>
  <c r="P80" i="1"/>
  <c r="P88" i="1"/>
  <c r="P96" i="1"/>
  <c r="P104" i="1"/>
  <c r="P112" i="1"/>
  <c r="P120" i="1"/>
  <c r="P128" i="1"/>
  <c r="P136" i="1"/>
  <c r="P144" i="1"/>
  <c r="P152" i="1"/>
  <c r="P160" i="1"/>
  <c r="P168" i="1"/>
  <c r="P176" i="1"/>
  <c r="P184" i="1"/>
  <c r="P10" i="1"/>
  <c r="P18" i="1"/>
  <c r="P26" i="1"/>
  <c r="P34" i="1"/>
  <c r="P42" i="1"/>
  <c r="P50" i="1"/>
  <c r="P58" i="1"/>
  <c r="P66" i="1"/>
  <c r="P74" i="1"/>
  <c r="P82" i="1"/>
  <c r="P90" i="1"/>
  <c r="P98" i="1"/>
  <c r="P106" i="1"/>
  <c r="P114" i="1"/>
  <c r="P122" i="1"/>
  <c r="P130" i="1"/>
  <c r="P138" i="1"/>
  <c r="P146" i="1"/>
  <c r="P154" i="1"/>
  <c r="P162" i="1"/>
  <c r="P170" i="1"/>
  <c r="P178" i="1"/>
  <c r="P186" i="1"/>
  <c r="P17" i="1"/>
  <c r="P49" i="1"/>
  <c r="P81" i="1"/>
  <c r="P113" i="1"/>
  <c r="P145" i="1"/>
  <c r="P177" i="1"/>
  <c r="P35" i="1"/>
  <c r="P163" i="1"/>
  <c r="P19" i="1"/>
  <c r="P51" i="1"/>
  <c r="P83" i="1"/>
  <c r="P115" i="1"/>
  <c r="P147" i="1"/>
  <c r="P179" i="1"/>
  <c r="P25" i="1"/>
  <c r="P57" i="1"/>
  <c r="P89" i="1"/>
  <c r="P121" i="1"/>
  <c r="P153" i="1"/>
  <c r="P185" i="1"/>
  <c r="P131" i="1"/>
  <c r="P27" i="1"/>
  <c r="P59" i="1"/>
  <c r="P91" i="1"/>
  <c r="P123" i="1"/>
  <c r="P155" i="1"/>
  <c r="P187" i="1"/>
  <c r="P67" i="1"/>
  <c r="P33" i="1"/>
  <c r="P65" i="1"/>
  <c r="P97" i="1"/>
  <c r="P129" i="1"/>
  <c r="P161" i="1"/>
  <c r="P99" i="1"/>
  <c r="P9" i="1"/>
  <c r="P41" i="1"/>
  <c r="P73" i="1"/>
  <c r="P105" i="1"/>
  <c r="P137" i="1"/>
  <c r="P169" i="1"/>
  <c r="P11" i="1"/>
  <c r="P43" i="1"/>
  <c r="P75" i="1"/>
  <c r="P107" i="1"/>
  <c r="P139" i="1"/>
  <c r="P171" i="1"/>
  <c r="B139" i="1"/>
  <c r="B27" i="1"/>
  <c r="B106" i="1"/>
  <c r="B152" i="1"/>
  <c r="B137" i="1"/>
  <c r="B47" i="1"/>
  <c r="B86" i="1"/>
  <c r="B109" i="1"/>
  <c r="B180" i="1"/>
  <c r="AB7" i="1"/>
  <c r="AB15" i="1"/>
  <c r="AB23" i="1"/>
  <c r="AB31" i="1"/>
  <c r="AB39" i="1"/>
  <c r="AB47" i="1"/>
  <c r="AB55" i="1"/>
  <c r="AB63" i="1"/>
  <c r="AB71" i="1"/>
  <c r="AB79" i="1"/>
  <c r="AB87" i="1"/>
  <c r="AB95" i="1"/>
  <c r="AB103" i="1"/>
  <c r="AB111" i="1"/>
  <c r="AB119" i="1"/>
  <c r="AB127" i="1"/>
  <c r="AB135" i="1"/>
  <c r="AB143" i="1"/>
  <c r="AB151" i="1"/>
  <c r="AB159" i="1"/>
  <c r="AB167" i="1"/>
  <c r="AB175" i="1"/>
  <c r="AB183" i="1"/>
  <c r="AB8" i="1"/>
  <c r="AB16" i="1"/>
  <c r="AB24" i="1"/>
  <c r="AB32" i="1"/>
  <c r="AB40" i="1"/>
  <c r="AB48" i="1"/>
  <c r="AB56" i="1"/>
  <c r="AB64" i="1"/>
  <c r="AB72" i="1"/>
  <c r="AB80" i="1"/>
  <c r="AB88" i="1"/>
  <c r="AB96" i="1"/>
  <c r="AB104" i="1"/>
  <c r="AB112" i="1"/>
  <c r="AB120" i="1"/>
  <c r="AB128" i="1"/>
  <c r="AB136" i="1"/>
  <c r="AB144" i="1"/>
  <c r="AB152" i="1"/>
  <c r="AB160" i="1"/>
  <c r="AB168" i="1"/>
  <c r="AB176" i="1"/>
  <c r="AB184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4" i="1"/>
  <c r="AB12" i="1"/>
  <c r="AB20" i="1"/>
  <c r="AB28" i="1"/>
  <c r="AB36" i="1"/>
  <c r="AB44" i="1"/>
  <c r="AB52" i="1"/>
  <c r="AB60" i="1"/>
  <c r="AB68" i="1"/>
  <c r="AB76" i="1"/>
  <c r="AB84" i="1"/>
  <c r="AB92" i="1"/>
  <c r="AB100" i="1"/>
  <c r="AB108" i="1"/>
  <c r="AB116" i="1"/>
  <c r="AB124" i="1"/>
  <c r="AB132" i="1"/>
  <c r="AB140" i="1"/>
  <c r="AB148" i="1"/>
  <c r="AB156" i="1"/>
  <c r="AB164" i="1"/>
  <c r="AB172" i="1"/>
  <c r="AB180" i="1"/>
  <c r="AB3" i="1"/>
  <c r="AB21" i="1"/>
  <c r="AB43" i="1"/>
  <c r="AB62" i="1"/>
  <c r="AB85" i="1"/>
  <c r="AB107" i="1"/>
  <c r="AB126" i="1"/>
  <c r="AB149" i="1"/>
  <c r="AB171" i="1"/>
  <c r="AB22" i="1"/>
  <c r="AB45" i="1"/>
  <c r="AB67" i="1"/>
  <c r="AB86" i="1"/>
  <c r="AB109" i="1"/>
  <c r="AB131" i="1"/>
  <c r="AB150" i="1"/>
  <c r="AB173" i="1"/>
  <c r="AB5" i="1"/>
  <c r="AB27" i="1"/>
  <c r="AB46" i="1"/>
  <c r="AB69" i="1"/>
  <c r="AB91" i="1"/>
  <c r="AB110" i="1"/>
  <c r="AB133" i="1"/>
  <c r="AB155" i="1"/>
  <c r="AB174" i="1"/>
  <c r="AB6" i="1"/>
  <c r="AB29" i="1"/>
  <c r="AB51" i="1"/>
  <c r="AB70" i="1"/>
  <c r="AB93" i="1"/>
  <c r="AB115" i="1"/>
  <c r="AB134" i="1"/>
  <c r="AB157" i="1"/>
  <c r="AB179" i="1"/>
  <c r="AB11" i="1"/>
  <c r="AB30" i="1"/>
  <c r="AB53" i="1"/>
  <c r="AB75" i="1"/>
  <c r="AB94" i="1"/>
  <c r="AB117" i="1"/>
  <c r="AB139" i="1"/>
  <c r="AB158" i="1"/>
  <c r="AB181" i="1"/>
  <c r="AB14" i="1"/>
  <c r="AB37" i="1"/>
  <c r="AB59" i="1"/>
  <c r="AB78" i="1"/>
  <c r="AB101" i="1"/>
  <c r="AB123" i="1"/>
  <c r="AB142" i="1"/>
  <c r="AB165" i="1"/>
  <c r="AB187" i="1"/>
  <c r="AB13" i="1"/>
  <c r="AB99" i="1"/>
  <c r="AB182" i="1"/>
  <c r="AB19" i="1"/>
  <c r="AB102" i="1"/>
  <c r="AB35" i="1"/>
  <c r="AB118" i="1"/>
  <c r="AB38" i="1"/>
  <c r="AB125" i="1"/>
  <c r="AB54" i="1"/>
  <c r="AB141" i="1"/>
  <c r="AB77" i="1"/>
  <c r="AB163" i="1"/>
  <c r="AB166" i="1"/>
  <c r="AB61" i="1"/>
  <c r="AB83" i="1"/>
  <c r="AB147" i="1"/>
  <c r="AP14" i="1"/>
  <c r="R161" i="1"/>
  <c r="R153" i="1"/>
  <c r="R115" i="1"/>
  <c r="R49" i="1"/>
  <c r="R11" i="1"/>
  <c r="R9" i="1"/>
  <c r="R130" i="1"/>
  <c r="R66" i="1"/>
  <c r="R184" i="1"/>
  <c r="R120" i="1"/>
  <c r="R56" i="1"/>
  <c r="R175" i="1"/>
  <c r="R111" i="1"/>
  <c r="R47" i="1"/>
  <c r="R166" i="1"/>
  <c r="R102" i="1"/>
  <c r="R38" i="1"/>
  <c r="R157" i="1"/>
  <c r="R93" i="1"/>
  <c r="R29" i="1"/>
  <c r="R156" i="1"/>
  <c r="R92" i="1"/>
  <c r="R28" i="1"/>
  <c r="H38" i="1"/>
  <c r="H137" i="1"/>
  <c r="H141" i="1"/>
  <c r="H77" i="1"/>
  <c r="H13" i="1"/>
  <c r="H121" i="1"/>
  <c r="H164" i="1"/>
  <c r="H100" i="1"/>
  <c r="H36" i="1"/>
  <c r="Z6" i="1"/>
  <c r="Z15" i="1"/>
  <c r="Z23" i="1"/>
  <c r="Z31" i="1"/>
  <c r="Z39" i="1"/>
  <c r="Z47" i="1"/>
  <c r="Z55" i="1"/>
  <c r="Z63" i="1"/>
  <c r="Z71" i="1"/>
  <c r="Z79" i="1"/>
  <c r="Z87" i="1"/>
  <c r="Z95" i="1"/>
  <c r="Z103" i="1"/>
  <c r="Z111" i="1"/>
  <c r="Z119" i="1"/>
  <c r="Z127" i="1"/>
  <c r="Z135" i="1"/>
  <c r="Z143" i="1"/>
  <c r="Z151" i="1"/>
  <c r="Z159" i="1"/>
  <c r="Z167" i="1"/>
  <c r="Z175" i="1"/>
  <c r="Z183" i="1"/>
  <c r="Z8" i="1"/>
  <c r="Z16" i="1"/>
  <c r="Z24" i="1"/>
  <c r="Z32" i="1"/>
  <c r="Z40" i="1"/>
  <c r="Z48" i="1"/>
  <c r="Z56" i="1"/>
  <c r="Z64" i="1"/>
  <c r="Z72" i="1"/>
  <c r="Z80" i="1"/>
  <c r="Z88" i="1"/>
  <c r="Z96" i="1"/>
  <c r="Z104" i="1"/>
  <c r="Z112" i="1"/>
  <c r="Z120" i="1"/>
  <c r="Z128" i="1"/>
  <c r="Z136" i="1"/>
  <c r="Z144" i="1"/>
  <c r="Z152" i="1"/>
  <c r="Z160" i="1"/>
  <c r="Z168" i="1"/>
  <c r="Z176" i="1"/>
  <c r="Z184" i="1"/>
  <c r="Z9" i="1"/>
  <c r="Z17" i="1"/>
  <c r="Z25" i="1"/>
  <c r="Z33" i="1"/>
  <c r="Z41" i="1"/>
  <c r="Z49" i="1"/>
  <c r="Z57" i="1"/>
  <c r="Z65" i="1"/>
  <c r="Z73" i="1"/>
  <c r="Z81" i="1"/>
  <c r="Z89" i="1"/>
  <c r="Z97" i="1"/>
  <c r="Z105" i="1"/>
  <c r="Z113" i="1"/>
  <c r="Z121" i="1"/>
  <c r="Z129" i="1"/>
  <c r="Z137" i="1"/>
  <c r="Z145" i="1"/>
  <c r="Z153" i="1"/>
  <c r="Z161" i="1"/>
  <c r="Z169" i="1"/>
  <c r="Z177" i="1"/>
  <c r="Z185" i="1"/>
  <c r="Z10" i="1"/>
  <c r="Z7" i="1"/>
  <c r="Z12" i="1"/>
  <c r="Z20" i="1"/>
  <c r="Z28" i="1"/>
  <c r="Z36" i="1"/>
  <c r="Z44" i="1"/>
  <c r="Z52" i="1"/>
  <c r="Z60" i="1"/>
  <c r="Z68" i="1"/>
  <c r="Z76" i="1"/>
  <c r="Z84" i="1"/>
  <c r="Z92" i="1"/>
  <c r="Z100" i="1"/>
  <c r="Z108" i="1"/>
  <c r="Z116" i="1"/>
  <c r="Z124" i="1"/>
  <c r="Z132" i="1"/>
  <c r="Z140" i="1"/>
  <c r="Z148" i="1"/>
  <c r="Z156" i="1"/>
  <c r="Z164" i="1"/>
  <c r="Z172" i="1"/>
  <c r="Z180" i="1"/>
  <c r="Z3" i="1"/>
  <c r="Z5" i="1"/>
  <c r="Z26" i="1"/>
  <c r="Z42" i="1"/>
  <c r="Z58" i="1"/>
  <c r="Z74" i="1"/>
  <c r="Z90" i="1"/>
  <c r="Z106" i="1"/>
  <c r="Z122" i="1"/>
  <c r="Z138" i="1"/>
  <c r="Z154" i="1"/>
  <c r="Z170" i="1"/>
  <c r="Z186" i="1"/>
  <c r="Z11" i="1"/>
  <c r="Z27" i="1"/>
  <c r="Z43" i="1"/>
  <c r="Z59" i="1"/>
  <c r="Z75" i="1"/>
  <c r="Z91" i="1"/>
  <c r="Z107" i="1"/>
  <c r="Z123" i="1"/>
  <c r="Z139" i="1"/>
  <c r="Z155" i="1"/>
  <c r="Z171" i="1"/>
  <c r="Z187" i="1"/>
  <c r="Z13" i="1"/>
  <c r="Z29" i="1"/>
  <c r="Z45" i="1"/>
  <c r="Z61" i="1"/>
  <c r="Z77" i="1"/>
  <c r="Z93" i="1"/>
  <c r="Z109" i="1"/>
  <c r="Z125" i="1"/>
  <c r="Z141" i="1"/>
  <c r="Z157" i="1"/>
  <c r="Z173" i="1"/>
  <c r="Z14" i="1"/>
  <c r="Z30" i="1"/>
  <c r="Z46" i="1"/>
  <c r="Z62" i="1"/>
  <c r="Z78" i="1"/>
  <c r="Z94" i="1"/>
  <c r="Z110" i="1"/>
  <c r="Z126" i="1"/>
  <c r="Z142" i="1"/>
  <c r="Z158" i="1"/>
  <c r="Z174" i="1"/>
  <c r="Z18" i="1"/>
  <c r="Z34" i="1"/>
  <c r="Z50" i="1"/>
  <c r="Z66" i="1"/>
  <c r="Z82" i="1"/>
  <c r="Z98" i="1"/>
  <c r="Z114" i="1"/>
  <c r="Z130" i="1"/>
  <c r="Z146" i="1"/>
  <c r="Z162" i="1"/>
  <c r="Z178" i="1"/>
  <c r="Z21" i="1"/>
  <c r="Z37" i="1"/>
  <c r="Z53" i="1"/>
  <c r="Z69" i="1"/>
  <c r="Z85" i="1"/>
  <c r="Z101" i="1"/>
  <c r="Z117" i="1"/>
  <c r="Z133" i="1"/>
  <c r="Z149" i="1"/>
  <c r="Z165" i="1"/>
  <c r="Z181" i="1"/>
  <c r="Z67" i="1"/>
  <c r="Z131" i="1"/>
  <c r="Z4" i="1"/>
  <c r="Z70" i="1"/>
  <c r="Z134" i="1"/>
  <c r="Z19" i="1"/>
  <c r="Z83" i="1"/>
  <c r="Z147" i="1"/>
  <c r="Z22" i="1"/>
  <c r="Z86" i="1"/>
  <c r="Z150" i="1"/>
  <c r="Z35" i="1"/>
  <c r="Z99" i="1"/>
  <c r="Z163" i="1"/>
  <c r="Z51" i="1"/>
  <c r="Z115" i="1"/>
  <c r="Z179" i="1"/>
  <c r="Z102" i="1"/>
  <c r="Z118" i="1"/>
  <c r="Z166" i="1"/>
  <c r="Z182" i="1"/>
  <c r="Z38" i="1"/>
  <c r="Z54" i="1"/>
  <c r="R59" i="1"/>
  <c r="R168" i="1"/>
  <c r="R95" i="1"/>
  <c r="R22" i="1"/>
  <c r="R140" i="1"/>
  <c r="R12" i="1"/>
  <c r="B178" i="1"/>
  <c r="B151" i="1"/>
  <c r="B45" i="1"/>
  <c r="AD7" i="1"/>
  <c r="AD16" i="1"/>
  <c r="AD24" i="1"/>
  <c r="AD32" i="1"/>
  <c r="AD40" i="1"/>
  <c r="AD48" i="1"/>
  <c r="AD56" i="1"/>
  <c r="AD64" i="1"/>
  <c r="AD72" i="1"/>
  <c r="AD80" i="1"/>
  <c r="AD88" i="1"/>
  <c r="AD96" i="1"/>
  <c r="AD104" i="1"/>
  <c r="AD112" i="1"/>
  <c r="AD120" i="1"/>
  <c r="AD128" i="1"/>
  <c r="AD136" i="1"/>
  <c r="AD144" i="1"/>
  <c r="AD152" i="1"/>
  <c r="AD160" i="1"/>
  <c r="AD168" i="1"/>
  <c r="AD176" i="1"/>
  <c r="AD184" i="1"/>
  <c r="AD8" i="1"/>
  <c r="AD17" i="1"/>
  <c r="AD25" i="1"/>
  <c r="AD33" i="1"/>
  <c r="AD41" i="1"/>
  <c r="AD49" i="1"/>
  <c r="AD57" i="1"/>
  <c r="AD65" i="1"/>
  <c r="AD73" i="1"/>
  <c r="AD81" i="1"/>
  <c r="AD89" i="1"/>
  <c r="AD97" i="1"/>
  <c r="AD105" i="1"/>
  <c r="AD113" i="1"/>
  <c r="AD121" i="1"/>
  <c r="AD129" i="1"/>
  <c r="AD137" i="1"/>
  <c r="AD145" i="1"/>
  <c r="AD153" i="1"/>
  <c r="AD161" i="1"/>
  <c r="AD169" i="1"/>
  <c r="AD177" i="1"/>
  <c r="AD185" i="1"/>
  <c r="AD9" i="1"/>
  <c r="AD18" i="1"/>
  <c r="AD26" i="1"/>
  <c r="AD34" i="1"/>
  <c r="AD42" i="1"/>
  <c r="AD50" i="1"/>
  <c r="AD58" i="1"/>
  <c r="AD66" i="1"/>
  <c r="AD74" i="1"/>
  <c r="AD82" i="1"/>
  <c r="AD90" i="1"/>
  <c r="AD98" i="1"/>
  <c r="AD106" i="1"/>
  <c r="AD114" i="1"/>
  <c r="AD122" i="1"/>
  <c r="AD130" i="1"/>
  <c r="AD138" i="1"/>
  <c r="AD146" i="1"/>
  <c r="AD154" i="1"/>
  <c r="AD162" i="1"/>
  <c r="AD170" i="1"/>
  <c r="AD178" i="1"/>
  <c r="AD186" i="1"/>
  <c r="AD10" i="1"/>
  <c r="AD19" i="1"/>
  <c r="AD27" i="1"/>
  <c r="AD35" i="1"/>
  <c r="AD43" i="1"/>
  <c r="AD51" i="1"/>
  <c r="AD59" i="1"/>
  <c r="AD67" i="1"/>
  <c r="AD75" i="1"/>
  <c r="AD83" i="1"/>
  <c r="AD91" i="1"/>
  <c r="AD99" i="1"/>
  <c r="AD107" i="1"/>
  <c r="AD115" i="1"/>
  <c r="AD123" i="1"/>
  <c r="AD131" i="1"/>
  <c r="AD139" i="1"/>
  <c r="AD147" i="1"/>
  <c r="AD155" i="1"/>
  <c r="AD163" i="1"/>
  <c r="AD171" i="1"/>
  <c r="AD179" i="1"/>
  <c r="AD187" i="1"/>
  <c r="AD4" i="1"/>
  <c r="AD13" i="1"/>
  <c r="AD21" i="1"/>
  <c r="AD29" i="1"/>
  <c r="AD37" i="1"/>
  <c r="AD45" i="1"/>
  <c r="AD53" i="1"/>
  <c r="AD61" i="1"/>
  <c r="AD69" i="1"/>
  <c r="AD77" i="1"/>
  <c r="AD85" i="1"/>
  <c r="AD93" i="1"/>
  <c r="AD101" i="1"/>
  <c r="AD109" i="1"/>
  <c r="AD117" i="1"/>
  <c r="AD125" i="1"/>
  <c r="AD133" i="1"/>
  <c r="AD141" i="1"/>
  <c r="AD149" i="1"/>
  <c r="AD157" i="1"/>
  <c r="AD165" i="1"/>
  <c r="AD173" i="1"/>
  <c r="AD181" i="1"/>
  <c r="AD14" i="1"/>
  <c r="AD36" i="1"/>
  <c r="AD55" i="1"/>
  <c r="AD78" i="1"/>
  <c r="AD100" i="1"/>
  <c r="AD119" i="1"/>
  <c r="AD142" i="1"/>
  <c r="AD164" i="1"/>
  <c r="AD183" i="1"/>
  <c r="AD11" i="1"/>
  <c r="AD15" i="1"/>
  <c r="AD38" i="1"/>
  <c r="AD60" i="1"/>
  <c r="AD79" i="1"/>
  <c r="AD102" i="1"/>
  <c r="AD124" i="1"/>
  <c r="AD143" i="1"/>
  <c r="AD166" i="1"/>
  <c r="AD3" i="1"/>
  <c r="AD20" i="1"/>
  <c r="AD39" i="1"/>
  <c r="AD62" i="1"/>
  <c r="AD84" i="1"/>
  <c r="AD103" i="1"/>
  <c r="AD126" i="1"/>
  <c r="AD148" i="1"/>
  <c r="AD167" i="1"/>
  <c r="AD22" i="1"/>
  <c r="AD44" i="1"/>
  <c r="AD63" i="1"/>
  <c r="AD86" i="1"/>
  <c r="AD108" i="1"/>
  <c r="AD127" i="1"/>
  <c r="AD150" i="1"/>
  <c r="AD172" i="1"/>
  <c r="AD23" i="1"/>
  <c r="AD46" i="1"/>
  <c r="AD68" i="1"/>
  <c r="AD87" i="1"/>
  <c r="AD110" i="1"/>
  <c r="AD132" i="1"/>
  <c r="AD151" i="1"/>
  <c r="AD174" i="1"/>
  <c r="AD6" i="1"/>
  <c r="AD30" i="1"/>
  <c r="AD52" i="1"/>
  <c r="AD71" i="1"/>
  <c r="AD94" i="1"/>
  <c r="AD116" i="1"/>
  <c r="AD135" i="1"/>
  <c r="AD158" i="1"/>
  <c r="AD180" i="1"/>
  <c r="AD28" i="1"/>
  <c r="AD111" i="1"/>
  <c r="AD31" i="1"/>
  <c r="AD118" i="1"/>
  <c r="AD47" i="1"/>
  <c r="AD134" i="1"/>
  <c r="AD54" i="1"/>
  <c r="AD140" i="1"/>
  <c r="AD70" i="1"/>
  <c r="AD156" i="1"/>
  <c r="AD5" i="1"/>
  <c r="AD92" i="1"/>
  <c r="AD175" i="1"/>
  <c r="AD159" i="1"/>
  <c r="AD182" i="1"/>
  <c r="AD12" i="1"/>
  <c r="AD76" i="1"/>
  <c r="AD95" i="1"/>
  <c r="R163" i="1"/>
  <c r="R65" i="1"/>
  <c r="R57" i="1"/>
  <c r="R19" i="1"/>
  <c r="R171" i="1"/>
  <c r="R169" i="1"/>
  <c r="R170" i="1"/>
  <c r="R106" i="1"/>
  <c r="R42" i="1"/>
  <c r="R160" i="1"/>
  <c r="R96" i="1"/>
  <c r="R32" i="1"/>
  <c r="R151" i="1"/>
  <c r="R87" i="1"/>
  <c r="R23" i="1"/>
  <c r="R142" i="1"/>
  <c r="R78" i="1"/>
  <c r="R14" i="1"/>
  <c r="R133" i="1"/>
  <c r="R69" i="1"/>
  <c r="R4" i="1"/>
  <c r="R132" i="1"/>
  <c r="R68" i="1"/>
  <c r="R6" i="1"/>
  <c r="H76" i="1"/>
  <c r="H12" i="1"/>
  <c r="R121" i="1"/>
  <c r="R123" i="1"/>
  <c r="R176" i="1"/>
  <c r="R103" i="1"/>
  <c r="R94" i="1"/>
  <c r="R85" i="1"/>
  <c r="R84" i="1"/>
  <c r="R155" i="1"/>
  <c r="R50" i="1"/>
  <c r="R159" i="1"/>
  <c r="R86" i="1"/>
  <c r="R77" i="1"/>
  <c r="R76" i="1"/>
  <c r="B91" i="1"/>
  <c r="B42" i="1"/>
  <c r="B88" i="1"/>
  <c r="B81" i="1"/>
  <c r="B22" i="1"/>
  <c r="B116" i="1"/>
  <c r="B179" i="1"/>
  <c r="B75" i="1"/>
  <c r="B170" i="1"/>
  <c r="B18" i="1"/>
  <c r="B80" i="1"/>
  <c r="B119" i="1"/>
  <c r="B182" i="1"/>
  <c r="B14" i="1"/>
  <c r="B13" i="1"/>
  <c r="B92" i="1"/>
  <c r="B4" i="1"/>
  <c r="AP12" i="1"/>
  <c r="R131" i="1"/>
  <c r="R33" i="1"/>
  <c r="R25" i="1"/>
  <c r="R177" i="1"/>
  <c r="R139" i="1"/>
  <c r="R137" i="1"/>
  <c r="R162" i="1"/>
  <c r="R98" i="1"/>
  <c r="R34" i="1"/>
  <c r="R152" i="1"/>
  <c r="R88" i="1"/>
  <c r="R24" i="1"/>
  <c r="R143" i="1"/>
  <c r="R79" i="1"/>
  <c r="R15" i="1"/>
  <c r="R134" i="1"/>
  <c r="R70" i="1"/>
  <c r="R5" i="1"/>
  <c r="R125" i="1"/>
  <c r="R61" i="1"/>
  <c r="R3" i="1"/>
  <c r="R124" i="1"/>
  <c r="R60" i="1"/>
  <c r="H68" i="1"/>
  <c r="R129" i="1"/>
  <c r="R17" i="1"/>
  <c r="R122" i="1"/>
  <c r="R112" i="1"/>
  <c r="R167" i="1"/>
  <c r="R158" i="1"/>
  <c r="R149" i="1"/>
  <c r="R148" i="1"/>
  <c r="R20" i="1"/>
  <c r="V4" i="1"/>
  <c r="V13" i="1"/>
  <c r="V21" i="1"/>
  <c r="V29" i="1"/>
  <c r="V37" i="1"/>
  <c r="V45" i="1"/>
  <c r="V53" i="1"/>
  <c r="V61" i="1"/>
  <c r="V69" i="1"/>
  <c r="V77" i="1"/>
  <c r="V85" i="1"/>
  <c r="V93" i="1"/>
  <c r="V101" i="1"/>
  <c r="V109" i="1"/>
  <c r="V117" i="1"/>
  <c r="V125" i="1"/>
  <c r="V133" i="1"/>
  <c r="V141" i="1"/>
  <c r="V149" i="1"/>
  <c r="V157" i="1"/>
  <c r="V165" i="1"/>
  <c r="V173" i="1"/>
  <c r="V181" i="1"/>
  <c r="V5" i="1"/>
  <c r="V14" i="1"/>
  <c r="V22" i="1"/>
  <c r="V30" i="1"/>
  <c r="V38" i="1"/>
  <c r="V46" i="1"/>
  <c r="V54" i="1"/>
  <c r="V62" i="1"/>
  <c r="V70" i="1"/>
  <c r="V78" i="1"/>
  <c r="V86" i="1"/>
  <c r="V94" i="1"/>
  <c r="V102" i="1"/>
  <c r="V110" i="1"/>
  <c r="V118" i="1"/>
  <c r="V126" i="1"/>
  <c r="V134" i="1"/>
  <c r="V142" i="1"/>
  <c r="V150" i="1"/>
  <c r="V158" i="1"/>
  <c r="V166" i="1"/>
  <c r="V174" i="1"/>
  <c r="V182" i="1"/>
  <c r="V6" i="1"/>
  <c r="V15" i="1"/>
  <c r="V23" i="1"/>
  <c r="V31" i="1"/>
  <c r="V39" i="1"/>
  <c r="V47" i="1"/>
  <c r="V55" i="1"/>
  <c r="V63" i="1"/>
  <c r="V71" i="1"/>
  <c r="V79" i="1"/>
  <c r="V87" i="1"/>
  <c r="V95" i="1"/>
  <c r="V103" i="1"/>
  <c r="V111" i="1"/>
  <c r="V119" i="1"/>
  <c r="V127" i="1"/>
  <c r="V135" i="1"/>
  <c r="V143" i="1"/>
  <c r="V151" i="1"/>
  <c r="V159" i="1"/>
  <c r="V167" i="1"/>
  <c r="V175" i="1"/>
  <c r="V183" i="1"/>
  <c r="V8" i="1"/>
  <c r="V16" i="1"/>
  <c r="V24" i="1"/>
  <c r="V32" i="1"/>
  <c r="V40" i="1"/>
  <c r="V48" i="1"/>
  <c r="V56" i="1"/>
  <c r="V64" i="1"/>
  <c r="V72" i="1"/>
  <c r="V80" i="1"/>
  <c r="V88" i="1"/>
  <c r="V96" i="1"/>
  <c r="V104" i="1"/>
  <c r="V112" i="1"/>
  <c r="V120" i="1"/>
  <c r="V128" i="1"/>
  <c r="V136" i="1"/>
  <c r="V144" i="1"/>
  <c r="V152" i="1"/>
  <c r="V160" i="1"/>
  <c r="V168" i="1"/>
  <c r="V176" i="1"/>
  <c r="V184" i="1"/>
  <c r="V9" i="1"/>
  <c r="V17" i="1"/>
  <c r="V25" i="1"/>
  <c r="V33" i="1"/>
  <c r="V41" i="1"/>
  <c r="V49" i="1"/>
  <c r="V11" i="1"/>
  <c r="V19" i="1"/>
  <c r="V27" i="1"/>
  <c r="V35" i="1"/>
  <c r="V43" i="1"/>
  <c r="V51" i="1"/>
  <c r="V59" i="1"/>
  <c r="V67" i="1"/>
  <c r="V75" i="1"/>
  <c r="V83" i="1"/>
  <c r="V91" i="1"/>
  <c r="V99" i="1"/>
  <c r="V107" i="1"/>
  <c r="V115" i="1"/>
  <c r="V123" i="1"/>
  <c r="V131" i="1"/>
  <c r="V139" i="1"/>
  <c r="V147" i="1"/>
  <c r="V155" i="1"/>
  <c r="V163" i="1"/>
  <c r="V171" i="1"/>
  <c r="V179" i="1"/>
  <c r="V187" i="1"/>
  <c r="V34" i="1"/>
  <c r="V60" i="1"/>
  <c r="V82" i="1"/>
  <c r="V105" i="1"/>
  <c r="V124" i="1"/>
  <c r="V146" i="1"/>
  <c r="V169" i="1"/>
  <c r="V3" i="1"/>
  <c r="V36" i="1"/>
  <c r="V65" i="1"/>
  <c r="V84" i="1"/>
  <c r="V106" i="1"/>
  <c r="V129" i="1"/>
  <c r="V148" i="1"/>
  <c r="V170" i="1"/>
  <c r="V10" i="1"/>
  <c r="V42" i="1"/>
  <c r="V66" i="1"/>
  <c r="V89" i="1"/>
  <c r="V108" i="1"/>
  <c r="V130" i="1"/>
  <c r="V153" i="1"/>
  <c r="V172" i="1"/>
  <c r="V12" i="1"/>
  <c r="V44" i="1"/>
  <c r="V68" i="1"/>
  <c r="V90" i="1"/>
  <c r="V113" i="1"/>
  <c r="V132" i="1"/>
  <c r="V154" i="1"/>
  <c r="V177" i="1"/>
  <c r="V18" i="1"/>
  <c r="V50" i="1"/>
  <c r="V73" i="1"/>
  <c r="V92" i="1"/>
  <c r="V114" i="1"/>
  <c r="V137" i="1"/>
  <c r="V156" i="1"/>
  <c r="V178" i="1"/>
  <c r="V26" i="1"/>
  <c r="V57" i="1"/>
  <c r="V76" i="1"/>
  <c r="V98" i="1"/>
  <c r="V121" i="1"/>
  <c r="V140" i="1"/>
  <c r="V162" i="1"/>
  <c r="V185" i="1"/>
  <c r="V74" i="1"/>
  <c r="V161" i="1"/>
  <c r="V28" i="1"/>
  <c r="V81" i="1"/>
  <c r="V164" i="1"/>
  <c r="V97" i="1"/>
  <c r="V180" i="1"/>
  <c r="V100" i="1"/>
  <c r="V186" i="1"/>
  <c r="V20" i="1"/>
  <c r="V116" i="1"/>
  <c r="V122" i="1"/>
  <c r="V52" i="1"/>
  <c r="V138" i="1"/>
  <c r="V58" i="1"/>
  <c r="V145" i="1"/>
  <c r="R89" i="1"/>
  <c r="R178" i="1"/>
  <c r="R104" i="1"/>
  <c r="R31" i="1"/>
  <c r="R141" i="1"/>
  <c r="R99" i="1"/>
  <c r="R187" i="1"/>
  <c r="R27" i="1"/>
  <c r="R145" i="1"/>
  <c r="R107" i="1"/>
  <c r="R105" i="1"/>
  <c r="R154" i="1"/>
  <c r="R90" i="1"/>
  <c r="R26" i="1"/>
  <c r="R144" i="1"/>
  <c r="R80" i="1"/>
  <c r="R16" i="1"/>
  <c r="R135" i="1"/>
  <c r="R71" i="1"/>
  <c r="R7" i="1"/>
  <c r="R126" i="1"/>
  <c r="R62" i="1"/>
  <c r="R181" i="1"/>
  <c r="R117" i="1"/>
  <c r="R53" i="1"/>
  <c r="R180" i="1"/>
  <c r="R116" i="1"/>
  <c r="R52" i="1"/>
  <c r="AP6" i="1"/>
  <c r="N6" i="1"/>
  <c r="N9" i="1"/>
  <c r="N13" i="1"/>
  <c r="N21" i="1"/>
  <c r="N29" i="1"/>
  <c r="N37" i="1"/>
  <c r="N45" i="1"/>
  <c r="N53" i="1"/>
  <c r="N61" i="1"/>
  <c r="N69" i="1"/>
  <c r="N77" i="1"/>
  <c r="N85" i="1"/>
  <c r="N4" i="1"/>
  <c r="N14" i="1"/>
  <c r="N22" i="1"/>
  <c r="N30" i="1"/>
  <c r="N38" i="1"/>
  <c r="N46" i="1"/>
  <c r="N54" i="1"/>
  <c r="N62" i="1"/>
  <c r="N70" i="1"/>
  <c r="N78" i="1"/>
  <c r="N86" i="1"/>
  <c r="N5" i="1"/>
  <c r="N15" i="1"/>
  <c r="N23" i="1"/>
  <c r="N31" i="1"/>
  <c r="N39" i="1"/>
  <c r="N47" i="1"/>
  <c r="N55" i="1"/>
  <c r="N63" i="1"/>
  <c r="N71" i="1"/>
  <c r="N79" i="1"/>
  <c r="N87" i="1"/>
  <c r="N7" i="1"/>
  <c r="N16" i="1"/>
  <c r="N24" i="1"/>
  <c r="N32" i="1"/>
  <c r="N40" i="1"/>
  <c r="N48" i="1"/>
  <c r="N56" i="1"/>
  <c r="N64" i="1"/>
  <c r="N72" i="1"/>
  <c r="N80" i="1"/>
  <c r="N8" i="1"/>
  <c r="N17" i="1"/>
  <c r="N25" i="1"/>
  <c r="N33" i="1"/>
  <c r="N41" i="1"/>
  <c r="N49" i="1"/>
  <c r="N11" i="1"/>
  <c r="N19" i="1"/>
  <c r="N27" i="1"/>
  <c r="N35" i="1"/>
  <c r="N43" i="1"/>
  <c r="N51" i="1"/>
  <c r="N59" i="1"/>
  <c r="N67" i="1"/>
  <c r="N75" i="1"/>
  <c r="N83" i="1"/>
  <c r="N26" i="1"/>
  <c r="N57" i="1"/>
  <c r="N76" i="1"/>
  <c r="N92" i="1"/>
  <c r="N100" i="1"/>
  <c r="N108" i="1"/>
  <c r="N116" i="1"/>
  <c r="N124" i="1"/>
  <c r="N132" i="1"/>
  <c r="N140" i="1"/>
  <c r="N148" i="1"/>
  <c r="N156" i="1"/>
  <c r="N164" i="1"/>
  <c r="N172" i="1"/>
  <c r="N180" i="1"/>
  <c r="N3" i="1"/>
  <c r="N89" i="1"/>
  <c r="N105" i="1"/>
  <c r="N137" i="1"/>
  <c r="N161" i="1"/>
  <c r="N163" i="1"/>
  <c r="N28" i="1"/>
  <c r="N58" i="1"/>
  <c r="N81" i="1"/>
  <c r="N93" i="1"/>
  <c r="N101" i="1"/>
  <c r="N109" i="1"/>
  <c r="N117" i="1"/>
  <c r="N125" i="1"/>
  <c r="N133" i="1"/>
  <c r="N141" i="1"/>
  <c r="N149" i="1"/>
  <c r="N157" i="1"/>
  <c r="N165" i="1"/>
  <c r="N173" i="1"/>
  <c r="N181" i="1"/>
  <c r="N44" i="1"/>
  <c r="N121" i="1"/>
  <c r="N169" i="1"/>
  <c r="N179" i="1"/>
  <c r="N34" i="1"/>
  <c r="N60" i="1"/>
  <c r="N82" i="1"/>
  <c r="N94" i="1"/>
  <c r="N102" i="1"/>
  <c r="N110" i="1"/>
  <c r="N118" i="1"/>
  <c r="N126" i="1"/>
  <c r="N134" i="1"/>
  <c r="N142" i="1"/>
  <c r="N150" i="1"/>
  <c r="N158" i="1"/>
  <c r="N166" i="1"/>
  <c r="N174" i="1"/>
  <c r="N182" i="1"/>
  <c r="N36" i="1"/>
  <c r="N65" i="1"/>
  <c r="N84" i="1"/>
  <c r="N95" i="1"/>
  <c r="N103" i="1"/>
  <c r="N111" i="1"/>
  <c r="N119" i="1"/>
  <c r="N127" i="1"/>
  <c r="N135" i="1"/>
  <c r="N143" i="1"/>
  <c r="N151" i="1"/>
  <c r="N159" i="1"/>
  <c r="N167" i="1"/>
  <c r="N175" i="1"/>
  <c r="N183" i="1"/>
  <c r="N68" i="1"/>
  <c r="N129" i="1"/>
  <c r="N177" i="1"/>
  <c r="N187" i="1"/>
  <c r="N10" i="1"/>
  <c r="N42" i="1"/>
  <c r="N66" i="1"/>
  <c r="N88" i="1"/>
  <c r="N96" i="1"/>
  <c r="N104" i="1"/>
  <c r="N112" i="1"/>
  <c r="N120" i="1"/>
  <c r="N128" i="1"/>
  <c r="N136" i="1"/>
  <c r="N144" i="1"/>
  <c r="N152" i="1"/>
  <c r="N160" i="1"/>
  <c r="N168" i="1"/>
  <c r="N176" i="1"/>
  <c r="N184" i="1"/>
  <c r="N12" i="1"/>
  <c r="N97" i="1"/>
  <c r="N113" i="1"/>
  <c r="N145" i="1"/>
  <c r="N153" i="1"/>
  <c r="N185" i="1"/>
  <c r="N155" i="1"/>
  <c r="N18" i="1"/>
  <c r="N50" i="1"/>
  <c r="N73" i="1"/>
  <c r="N90" i="1"/>
  <c r="N98" i="1"/>
  <c r="N106" i="1"/>
  <c r="N114" i="1"/>
  <c r="N122" i="1"/>
  <c r="N130" i="1"/>
  <c r="N138" i="1"/>
  <c r="N146" i="1"/>
  <c r="N154" i="1"/>
  <c r="N162" i="1"/>
  <c r="N170" i="1"/>
  <c r="N178" i="1"/>
  <c r="N186" i="1"/>
  <c r="N20" i="1"/>
  <c r="N52" i="1"/>
  <c r="N74" i="1"/>
  <c r="N91" i="1"/>
  <c r="N99" i="1"/>
  <c r="N107" i="1"/>
  <c r="N115" i="1"/>
  <c r="N123" i="1"/>
  <c r="N131" i="1"/>
  <c r="N139" i="1"/>
  <c r="N147" i="1"/>
  <c r="N171" i="1"/>
  <c r="R83" i="1"/>
  <c r="R186" i="1"/>
  <c r="R58" i="1"/>
  <c r="R48" i="1"/>
  <c r="R39" i="1"/>
  <c r="R30" i="1"/>
  <c r="R21" i="1"/>
  <c r="R97" i="1"/>
  <c r="R51" i="1"/>
  <c r="R114" i="1"/>
  <c r="R40" i="1"/>
  <c r="R150" i="1"/>
  <c r="R13" i="1"/>
  <c r="R67" i="1"/>
  <c r="R91" i="1"/>
  <c r="R179" i="1"/>
  <c r="R113" i="1"/>
  <c r="R75" i="1"/>
  <c r="R73" i="1"/>
  <c r="R146" i="1"/>
  <c r="R82" i="1"/>
  <c r="R18" i="1"/>
  <c r="R136" i="1"/>
  <c r="R72" i="1"/>
  <c r="R8" i="1"/>
  <c r="R127" i="1"/>
  <c r="R63" i="1"/>
  <c r="R182" i="1"/>
  <c r="R118" i="1"/>
  <c r="R54" i="1"/>
  <c r="R173" i="1"/>
  <c r="R109" i="1"/>
  <c r="R45" i="1"/>
  <c r="R172" i="1"/>
  <c r="R108" i="1"/>
  <c r="J110" i="1"/>
  <c r="J118" i="1"/>
  <c r="J31" i="1"/>
  <c r="J124" i="1"/>
  <c r="J92" i="1"/>
  <c r="J135" i="1"/>
  <c r="J87" i="1"/>
  <c r="J107" i="1"/>
  <c r="J77" i="1"/>
  <c r="J82" i="1"/>
  <c r="J69" i="1"/>
  <c r="J58" i="1"/>
  <c r="J32" i="1"/>
  <c r="J142" i="1"/>
  <c r="J127" i="1"/>
  <c r="J115" i="1"/>
  <c r="J49" i="1"/>
  <c r="J70" i="1"/>
  <c r="J45" i="1"/>
  <c r="J84" i="1"/>
  <c r="J23" i="1"/>
  <c r="J83" i="1"/>
  <c r="J86" i="1"/>
  <c r="J26" i="1"/>
  <c r="J22" i="1"/>
  <c r="J38" i="1"/>
  <c r="J13" i="1"/>
  <c r="J60" i="1"/>
  <c r="J182" i="1"/>
  <c r="J51" i="1"/>
  <c r="J186" i="1"/>
  <c r="J18" i="1"/>
  <c r="J161" i="1"/>
  <c r="J173" i="1"/>
  <c r="J5" i="1"/>
  <c r="J28" i="1"/>
  <c r="J102" i="1"/>
  <c r="J43" i="1"/>
  <c r="J154" i="1"/>
  <c r="J136" i="1"/>
  <c r="J145" i="1"/>
  <c r="J128" i="1"/>
  <c r="J141" i="1"/>
  <c r="J3" i="1"/>
  <c r="J20" i="1"/>
  <c r="J179" i="1"/>
  <c r="J19" i="1"/>
  <c r="J146" i="1"/>
  <c r="J8" i="1"/>
  <c r="J121" i="1"/>
  <c r="J56" i="1"/>
  <c r="J133" i="1"/>
  <c r="J156" i="1"/>
  <c r="J184" i="1"/>
  <c r="J171" i="1"/>
  <c r="J72" i="1"/>
  <c r="J122" i="1"/>
  <c r="J175" i="1"/>
  <c r="J81" i="1"/>
  <c r="J167" i="1"/>
  <c r="J109" i="1"/>
  <c r="J148" i="1"/>
  <c r="J64" i="1"/>
  <c r="J147" i="1"/>
  <c r="J24" i="1"/>
  <c r="J90" i="1"/>
  <c r="J79" i="1"/>
  <c r="J73" i="1"/>
  <c r="J95" i="1"/>
  <c r="J6" i="1"/>
  <c r="J125" i="1"/>
  <c r="J61" i="1"/>
  <c r="J168" i="1"/>
  <c r="J140" i="1"/>
  <c r="J76" i="1"/>
  <c r="J12" i="1"/>
  <c r="J183" i="1"/>
  <c r="J150" i="1"/>
  <c r="J163" i="1"/>
  <c r="J99" i="1"/>
  <c r="J35" i="1"/>
  <c r="J151" i="1"/>
  <c r="J54" i="1"/>
  <c r="J138" i="1"/>
  <c r="J74" i="1"/>
  <c r="J10" i="1"/>
  <c r="J143" i="1"/>
  <c r="J78" i="1"/>
  <c r="J137" i="1"/>
  <c r="J65" i="1"/>
  <c r="J176" i="1"/>
  <c r="J63" i="1"/>
  <c r="J181" i="1"/>
  <c r="J117" i="1"/>
  <c r="J53" i="1"/>
  <c r="J48" i="1"/>
  <c r="J132" i="1"/>
  <c r="J68" i="1"/>
  <c r="J4" i="1"/>
  <c r="J159" i="1"/>
  <c r="J134" i="1"/>
  <c r="J155" i="1"/>
  <c r="J91" i="1"/>
  <c r="J27" i="1"/>
  <c r="J119" i="1"/>
  <c r="J14" i="1"/>
  <c r="J130" i="1"/>
  <c r="J66" i="1"/>
  <c r="J160" i="1"/>
  <c r="J111" i="1"/>
  <c r="J46" i="1"/>
  <c r="J129" i="1"/>
  <c r="J57" i="1"/>
  <c r="J96" i="1"/>
  <c r="J158" i="1"/>
  <c r="J165" i="1"/>
  <c r="J101" i="1"/>
  <c r="J37" i="1"/>
  <c r="J180" i="1"/>
  <c r="J116" i="1"/>
  <c r="J52" i="1"/>
  <c r="J152" i="1"/>
  <c r="J103" i="1"/>
  <c r="J62" i="1"/>
  <c r="J139" i="1"/>
  <c r="J75" i="1"/>
  <c r="J11" i="1"/>
  <c r="J55" i="1"/>
  <c r="J178" i="1"/>
  <c r="J114" i="1"/>
  <c r="J50" i="1"/>
  <c r="J112" i="1"/>
  <c r="J39" i="1"/>
  <c r="J185" i="1"/>
  <c r="J113" i="1"/>
  <c r="J33" i="1"/>
  <c r="J126" i="1"/>
  <c r="J157" i="1"/>
  <c r="J93" i="1"/>
  <c r="J29" i="1"/>
  <c r="J172" i="1"/>
  <c r="J108" i="1"/>
  <c r="J44" i="1"/>
  <c r="J120" i="1"/>
  <c r="J71" i="1"/>
  <c r="J30" i="1"/>
  <c r="J131" i="1"/>
  <c r="J67" i="1"/>
  <c r="J144" i="1"/>
  <c r="J15" i="1"/>
  <c r="J170" i="1"/>
  <c r="J106" i="1"/>
  <c r="J42" i="1"/>
  <c r="J80" i="1"/>
  <c r="J7" i="1"/>
  <c r="J177" i="1"/>
  <c r="J105" i="1"/>
  <c r="J17" i="1"/>
  <c r="J16" i="1"/>
  <c r="J94" i="1"/>
  <c r="J149" i="1"/>
  <c r="J85" i="1"/>
  <c r="J21" i="1"/>
  <c r="J164" i="1"/>
  <c r="J100" i="1"/>
  <c r="J36" i="1"/>
  <c r="J88" i="1"/>
  <c r="J47" i="1"/>
  <c r="J187" i="1"/>
  <c r="J123" i="1"/>
  <c r="J59" i="1"/>
  <c r="J104" i="1"/>
  <c r="J166" i="1"/>
  <c r="J162" i="1"/>
  <c r="J98" i="1"/>
  <c r="J34" i="1"/>
  <c r="J40" i="1"/>
  <c r="J174" i="1"/>
  <c r="J169" i="1"/>
  <c r="J97" i="1"/>
  <c r="J9" i="1"/>
  <c r="J41" i="1"/>
  <c r="J153" i="1"/>
  <c r="J89" i="1"/>
  <c r="F54" i="1"/>
  <c r="F110" i="1"/>
  <c r="F174" i="1"/>
  <c r="F7" i="1"/>
  <c r="F15" i="1"/>
  <c r="F23" i="1"/>
  <c r="F31" i="1"/>
  <c r="F39" i="1"/>
  <c r="F47" i="1"/>
  <c r="F55" i="1"/>
  <c r="F63" i="1"/>
  <c r="F71" i="1"/>
  <c r="F79" i="1"/>
  <c r="F87" i="1"/>
  <c r="F95" i="1"/>
  <c r="F103" i="1"/>
  <c r="F111" i="1"/>
  <c r="F119" i="1"/>
  <c r="F127" i="1"/>
  <c r="F135" i="1"/>
  <c r="F143" i="1"/>
  <c r="F151" i="1"/>
  <c r="F159" i="1"/>
  <c r="F167" i="1"/>
  <c r="F175" i="1"/>
  <c r="F183" i="1"/>
  <c r="F61" i="1"/>
  <c r="F181" i="1"/>
  <c r="F22" i="1"/>
  <c r="F70" i="1"/>
  <c r="F134" i="1"/>
  <c r="F8" i="1"/>
  <c r="F16" i="1"/>
  <c r="F24" i="1"/>
  <c r="F32" i="1"/>
  <c r="F40" i="1"/>
  <c r="F48" i="1"/>
  <c r="F56" i="1"/>
  <c r="F64" i="1"/>
  <c r="F72" i="1"/>
  <c r="F80" i="1"/>
  <c r="F88" i="1"/>
  <c r="F96" i="1"/>
  <c r="F104" i="1"/>
  <c r="F112" i="1"/>
  <c r="F120" i="1"/>
  <c r="F128" i="1"/>
  <c r="F136" i="1"/>
  <c r="F144" i="1"/>
  <c r="F152" i="1"/>
  <c r="F160" i="1"/>
  <c r="F168" i="1"/>
  <c r="F176" i="1"/>
  <c r="F184" i="1"/>
  <c r="F185" i="1"/>
  <c r="F19" i="1"/>
  <c r="F35" i="1"/>
  <c r="F67" i="1"/>
  <c r="F99" i="1"/>
  <c r="F123" i="1"/>
  <c r="F163" i="1"/>
  <c r="F13" i="1"/>
  <c r="F53" i="1"/>
  <c r="F101" i="1"/>
  <c r="F141" i="1"/>
  <c r="F46" i="1"/>
  <c r="F102" i="1"/>
  <c r="F150" i="1"/>
  <c r="F9" i="1"/>
  <c r="F17" i="1"/>
  <c r="F25" i="1"/>
  <c r="F33" i="1"/>
  <c r="F41" i="1"/>
  <c r="F49" i="1"/>
  <c r="F57" i="1"/>
  <c r="F65" i="1"/>
  <c r="F73" i="1"/>
  <c r="F81" i="1"/>
  <c r="F89" i="1"/>
  <c r="F97" i="1"/>
  <c r="F105" i="1"/>
  <c r="F113" i="1"/>
  <c r="F121" i="1"/>
  <c r="F129" i="1"/>
  <c r="F137" i="1"/>
  <c r="F145" i="1"/>
  <c r="F153" i="1"/>
  <c r="F161" i="1"/>
  <c r="F169" i="1"/>
  <c r="F177" i="1"/>
  <c r="F11" i="1"/>
  <c r="F51" i="1"/>
  <c r="F91" i="1"/>
  <c r="F115" i="1"/>
  <c r="F147" i="1"/>
  <c r="F179" i="1"/>
  <c r="F29" i="1"/>
  <c r="F77" i="1"/>
  <c r="F117" i="1"/>
  <c r="F165" i="1"/>
  <c r="F14" i="1"/>
  <c r="F62" i="1"/>
  <c r="F126" i="1"/>
  <c r="F10" i="1"/>
  <c r="F18" i="1"/>
  <c r="F26" i="1"/>
  <c r="F34" i="1"/>
  <c r="F42" i="1"/>
  <c r="F50" i="1"/>
  <c r="F58" i="1"/>
  <c r="F66" i="1"/>
  <c r="F74" i="1"/>
  <c r="F82" i="1"/>
  <c r="F90" i="1"/>
  <c r="F98" i="1"/>
  <c r="F106" i="1"/>
  <c r="F114" i="1"/>
  <c r="F122" i="1"/>
  <c r="F130" i="1"/>
  <c r="F138" i="1"/>
  <c r="F146" i="1"/>
  <c r="F154" i="1"/>
  <c r="F162" i="1"/>
  <c r="F170" i="1"/>
  <c r="F178" i="1"/>
  <c r="F186" i="1"/>
  <c r="F27" i="1"/>
  <c r="F59" i="1"/>
  <c r="F75" i="1"/>
  <c r="F107" i="1"/>
  <c r="F131" i="1"/>
  <c r="F155" i="1"/>
  <c r="F187" i="1"/>
  <c r="F21" i="1"/>
  <c r="F69" i="1"/>
  <c r="F109" i="1"/>
  <c r="F157" i="1"/>
  <c r="F30" i="1"/>
  <c r="F94" i="1"/>
  <c r="F142" i="1"/>
  <c r="F182" i="1"/>
  <c r="F3" i="1"/>
  <c r="F43" i="1"/>
  <c r="F83" i="1"/>
  <c r="F139" i="1"/>
  <c r="F171" i="1"/>
  <c r="F37" i="1"/>
  <c r="F85" i="1"/>
  <c r="F125" i="1"/>
  <c r="F173" i="1"/>
  <c r="F6" i="1"/>
  <c r="F86" i="1"/>
  <c r="F158" i="1"/>
  <c r="F4" i="1"/>
  <c r="F12" i="1"/>
  <c r="F20" i="1"/>
  <c r="F28" i="1"/>
  <c r="F36" i="1"/>
  <c r="F44" i="1"/>
  <c r="F52" i="1"/>
  <c r="F60" i="1"/>
  <c r="F68" i="1"/>
  <c r="F76" i="1"/>
  <c r="F84" i="1"/>
  <c r="F92" i="1"/>
  <c r="F100" i="1"/>
  <c r="F108" i="1"/>
  <c r="F116" i="1"/>
  <c r="F124" i="1"/>
  <c r="F132" i="1"/>
  <c r="F140" i="1"/>
  <c r="F148" i="1"/>
  <c r="F156" i="1"/>
  <c r="F164" i="1"/>
  <c r="F172" i="1"/>
  <c r="F180" i="1"/>
  <c r="F5" i="1"/>
  <c r="F45" i="1"/>
  <c r="F93" i="1"/>
  <c r="F133" i="1"/>
  <c r="F149" i="1"/>
  <c r="F38" i="1"/>
  <c r="F78" i="1"/>
  <c r="F118" i="1"/>
  <c r="F166" i="1"/>
  <c r="B115" i="1"/>
  <c r="B43" i="1"/>
  <c r="B162" i="1"/>
  <c r="B98" i="1"/>
  <c r="B34" i="1"/>
  <c r="B41" i="1"/>
  <c r="B136" i="1"/>
  <c r="B72" i="1"/>
  <c r="B8" i="1"/>
  <c r="B167" i="1"/>
  <c r="B103" i="1"/>
  <c r="B39" i="1"/>
  <c r="B49" i="1"/>
  <c r="B134" i="1"/>
  <c r="B70" i="1"/>
  <c r="B6" i="1"/>
  <c r="B125" i="1"/>
  <c r="B61" i="1"/>
  <c r="B107" i="1"/>
  <c r="B172" i="1"/>
  <c r="B108" i="1"/>
  <c r="B44" i="1"/>
  <c r="B99" i="1"/>
  <c r="B35" i="1"/>
  <c r="B154" i="1"/>
  <c r="B90" i="1"/>
  <c r="B26" i="1"/>
  <c r="B9" i="1"/>
  <c r="B128" i="1"/>
  <c r="B64" i="1"/>
  <c r="B177" i="1"/>
  <c r="B159" i="1"/>
  <c r="B95" i="1"/>
  <c r="B31" i="1"/>
  <c r="B33" i="1"/>
  <c r="B126" i="1"/>
  <c r="B62" i="1"/>
  <c r="B97" i="1"/>
  <c r="B117" i="1"/>
  <c r="B53" i="1"/>
  <c r="B169" i="1"/>
  <c r="B164" i="1"/>
  <c r="B100" i="1"/>
  <c r="B36" i="1"/>
  <c r="B187" i="1"/>
  <c r="B83" i="1"/>
  <c r="B19" i="1"/>
  <c r="B138" i="1"/>
  <c r="B74" i="1"/>
  <c r="B10" i="1"/>
  <c r="B176" i="1"/>
  <c r="B112" i="1"/>
  <c r="B48" i="1"/>
  <c r="B105" i="1"/>
  <c r="B143" i="1"/>
  <c r="B79" i="1"/>
  <c r="B15" i="1"/>
  <c r="B174" i="1"/>
  <c r="B110" i="1"/>
  <c r="B46" i="1"/>
  <c r="B165" i="1"/>
  <c r="B101" i="1"/>
  <c r="B37" i="1"/>
  <c r="B121" i="1"/>
  <c r="B148" i="1"/>
  <c r="B84" i="1"/>
  <c r="B20" i="1"/>
  <c r="B3" i="1"/>
  <c r="B66" i="1"/>
  <c r="B185" i="1"/>
  <c r="B168" i="1"/>
  <c r="B104" i="1"/>
  <c r="B40" i="1"/>
  <c r="B65" i="1"/>
  <c r="B135" i="1"/>
  <c r="B71" i="1"/>
  <c r="B7" i="1"/>
  <c r="B166" i="1"/>
  <c r="B102" i="1"/>
  <c r="B38" i="1"/>
  <c r="B157" i="1"/>
  <c r="B93" i="1"/>
  <c r="B29" i="1"/>
  <c r="B89" i="1"/>
  <c r="B140" i="1"/>
  <c r="B76" i="1"/>
  <c r="B12" i="1"/>
  <c r="B5" i="1"/>
  <c r="B122" i="1"/>
  <c r="B58" i="1"/>
  <c r="B145" i="1"/>
  <c r="B160" i="1"/>
  <c r="B96" i="1"/>
  <c r="B32" i="1"/>
  <c r="B25" i="1"/>
  <c r="B127" i="1"/>
  <c r="B63" i="1"/>
  <c r="B153" i="1"/>
  <c r="B158" i="1"/>
  <c r="B94" i="1"/>
  <c r="B30" i="1"/>
  <c r="B149" i="1"/>
  <c r="B85" i="1"/>
  <c r="B21" i="1"/>
  <c r="B57" i="1"/>
  <c r="B132" i="1"/>
  <c r="B68" i="1"/>
  <c r="D52" i="1"/>
  <c r="D155" i="1"/>
  <c r="D75" i="1"/>
  <c r="D9" i="1"/>
  <c r="D162" i="1"/>
  <c r="D15" i="1"/>
  <c r="D163" i="1"/>
  <c r="D27" i="1"/>
  <c r="D98" i="1"/>
  <c r="D135" i="1"/>
  <c r="D34" i="1"/>
  <c r="D71" i="1"/>
  <c r="D158" i="1"/>
  <c r="D147" i="1"/>
  <c r="D125" i="1"/>
  <c r="D153" i="1"/>
  <c r="D5" i="1"/>
  <c r="D172" i="1"/>
  <c r="D139" i="1"/>
  <c r="D101" i="1"/>
  <c r="D89" i="1"/>
  <c r="D110" i="1"/>
  <c r="D100" i="1"/>
  <c r="D99" i="1"/>
  <c r="D29" i="1"/>
  <c r="D25" i="1"/>
  <c r="D46" i="1"/>
  <c r="D84" i="1"/>
  <c r="D91" i="1"/>
  <c r="D180" i="1"/>
  <c r="D144" i="1"/>
  <c r="D141" i="1"/>
  <c r="D68" i="1"/>
  <c r="D83" i="1"/>
  <c r="D76" i="1"/>
  <c r="D80" i="1"/>
  <c r="D3" i="1"/>
  <c r="D44" i="1"/>
  <c r="D146" i="1"/>
  <c r="D82" i="1"/>
  <c r="D18" i="1"/>
  <c r="D137" i="1"/>
  <c r="D73" i="1"/>
  <c r="D7" i="1"/>
  <c r="D128" i="1"/>
  <c r="D64" i="1"/>
  <c r="D183" i="1"/>
  <c r="D119" i="1"/>
  <c r="D55" i="1"/>
  <c r="D166" i="1"/>
  <c r="D94" i="1"/>
  <c r="D30" i="1"/>
  <c r="D85" i="1"/>
  <c r="D156" i="1"/>
  <c r="D36" i="1"/>
  <c r="D131" i="1"/>
  <c r="D67" i="1"/>
  <c r="D181" i="1"/>
  <c r="D93" i="1"/>
  <c r="D164" i="1"/>
  <c r="D28" i="1"/>
  <c r="D138" i="1"/>
  <c r="D74" i="1"/>
  <c r="D8" i="1"/>
  <c r="D129" i="1"/>
  <c r="D65" i="1"/>
  <c r="D184" i="1"/>
  <c r="D120" i="1"/>
  <c r="D56" i="1"/>
  <c r="D175" i="1"/>
  <c r="D111" i="1"/>
  <c r="D47" i="1"/>
  <c r="D150" i="1"/>
  <c r="D86" i="1"/>
  <c r="D22" i="1"/>
  <c r="D61" i="1"/>
  <c r="D140" i="1"/>
  <c r="D123" i="1"/>
  <c r="D173" i="1"/>
  <c r="D77" i="1"/>
  <c r="D20" i="1"/>
  <c r="D66" i="1"/>
  <c r="D121" i="1"/>
  <c r="D57" i="1"/>
  <c r="D112" i="1"/>
  <c r="D48" i="1"/>
  <c r="D167" i="1"/>
  <c r="D39" i="1"/>
  <c r="D142" i="1"/>
  <c r="D78" i="1"/>
  <c r="D13" i="1"/>
  <c r="D37" i="1"/>
  <c r="D132" i="1"/>
  <c r="D179" i="1"/>
  <c r="D115" i="1"/>
  <c r="D51" i="1"/>
  <c r="D157" i="1"/>
  <c r="D69" i="1"/>
  <c r="D124" i="1"/>
  <c r="D186" i="1"/>
  <c r="D122" i="1"/>
  <c r="D58" i="1"/>
  <c r="D177" i="1"/>
  <c r="D113" i="1"/>
  <c r="D49" i="1"/>
  <c r="D168" i="1"/>
  <c r="D104" i="1"/>
  <c r="D40" i="1"/>
  <c r="D159" i="1"/>
  <c r="D95" i="1"/>
  <c r="D31" i="1"/>
  <c r="D134" i="1"/>
  <c r="D70" i="1"/>
  <c r="D4" i="1"/>
  <c r="D21" i="1"/>
  <c r="D11" i="1"/>
  <c r="D59" i="1"/>
  <c r="D148" i="1"/>
  <c r="D130" i="1"/>
  <c r="D185" i="1"/>
  <c r="D176" i="1"/>
  <c r="D103" i="1"/>
  <c r="D116" i="1"/>
  <c r="D171" i="1"/>
  <c r="D107" i="1"/>
  <c r="D43" i="1"/>
  <c r="D149" i="1"/>
  <c r="D53" i="1"/>
  <c r="D108" i="1"/>
  <c r="D178" i="1"/>
  <c r="D114" i="1"/>
  <c r="D50" i="1"/>
  <c r="D169" i="1"/>
  <c r="D105" i="1"/>
  <c r="D41" i="1"/>
  <c r="D160" i="1"/>
  <c r="D96" i="1"/>
  <c r="D32" i="1"/>
  <c r="D151" i="1"/>
  <c r="D87" i="1"/>
  <c r="D23" i="1"/>
  <c r="D126" i="1"/>
  <c r="D62" i="1"/>
  <c r="D174" i="1"/>
  <c r="D16" i="1"/>
  <c r="D35" i="1"/>
  <c r="D133" i="1"/>
  <c r="D45" i="1"/>
  <c r="D92" i="1"/>
  <c r="D170" i="1"/>
  <c r="D106" i="1"/>
  <c r="D42" i="1"/>
  <c r="D161" i="1"/>
  <c r="D97" i="1"/>
  <c r="D33" i="1"/>
  <c r="D152" i="1"/>
  <c r="D88" i="1"/>
  <c r="D24" i="1"/>
  <c r="D143" i="1"/>
  <c r="D79" i="1"/>
  <c r="D14" i="1"/>
  <c r="D118" i="1"/>
  <c r="D54" i="1"/>
  <c r="D165" i="1"/>
  <c r="D10" i="1"/>
  <c r="D19" i="1"/>
  <c r="D117" i="1"/>
  <c r="D12" i="1"/>
  <c r="D60" i="1"/>
  <c r="D154" i="1"/>
  <c r="D90" i="1"/>
  <c r="D26" i="1"/>
  <c r="D145" i="1"/>
  <c r="D81" i="1"/>
  <c r="D17" i="1"/>
  <c r="D136" i="1"/>
  <c r="D72" i="1"/>
  <c r="D6" i="1"/>
  <c r="D127" i="1"/>
  <c r="D63" i="1"/>
  <c r="D182" i="1"/>
  <c r="D102" i="1"/>
  <c r="D38" i="1"/>
  <c r="D109" i="1"/>
  <c r="AP5" i="1" l="1"/>
  <c r="AP10" i="1"/>
  <c r="AP16" i="1"/>
  <c r="AP3" i="1"/>
  <c r="AP18" i="1"/>
  <c r="AP17" i="1"/>
  <c r="AP7" i="1"/>
  <c r="AP4" i="1"/>
  <c r="AP9" i="1"/>
  <c r="AP13" i="1"/>
  <c r="AP15" i="1"/>
  <c r="AP11" i="1"/>
</calcChain>
</file>

<file path=xl/sharedStrings.xml><?xml version="1.0" encoding="utf-8"?>
<sst xmlns="http://schemas.openxmlformats.org/spreadsheetml/2006/main" count="693" uniqueCount="116">
  <si>
    <t>N</t>
  </si>
  <si>
    <t>k</t>
  </si>
  <si>
    <t>Количество стадий ГРП, шт</t>
  </si>
  <si>
    <t>Мощнось продуктивного пласта, м</t>
  </si>
  <si>
    <t>Пластовое давление, атм</t>
  </si>
  <si>
    <t>Проницаемость, мД</t>
  </si>
  <si>
    <t>k, мД</t>
  </si>
  <si>
    <t>Вязкость нефти, сП</t>
  </si>
  <si>
    <t>Азимут распространения трещины, градусы</t>
  </si>
  <si>
    <t>Масса проппанта, тонн</t>
  </si>
  <si>
    <t>Полудлина трещины (длина одного крыла), м</t>
  </si>
  <si>
    <t>Радиус зоны дренирования, м</t>
  </si>
  <si>
    <t>Высота трещины, м</t>
  </si>
  <si>
    <t>Ширина трещины, мм</t>
  </si>
  <si>
    <t>Забойное давление, атм</t>
  </si>
  <si>
    <t>Депрессия (разница пластового и забойного давлений), атм</t>
  </si>
  <si>
    <t>Дебит нефти скважины, м3/сут</t>
  </si>
  <si>
    <t>Дебит жидкости скважины, м3/сут</t>
  </si>
  <si>
    <t>L, м</t>
  </si>
  <si>
    <t>N, шт</t>
  </si>
  <si>
    <t>Н pay, м</t>
  </si>
  <si>
    <t>Рпл, атм</t>
  </si>
  <si>
    <t>μ oil, сП</t>
  </si>
  <si>
    <t>Az, градусы</t>
  </si>
  <si>
    <t>Mprop, тонн</t>
  </si>
  <si>
    <t>Xf, м</t>
  </si>
  <si>
    <t>Height, м</t>
  </si>
  <si>
    <t>Рзаб, атм</t>
  </si>
  <si>
    <t>dP, атм</t>
  </si>
  <si>
    <t>WLPR, м3/сут</t>
  </si>
  <si>
    <t>WOPR, м3/сут</t>
  </si>
  <si>
    <t>Width, м</t>
  </si>
  <si>
    <t xml:space="preserve">Name </t>
  </si>
  <si>
    <t>Min</t>
  </si>
  <si>
    <t>Max</t>
  </si>
  <si>
    <t>Mean</t>
  </si>
  <si>
    <t>Missing</t>
  </si>
  <si>
    <t>Outliers</t>
  </si>
  <si>
    <t xml:space="preserve">Descriptive statistic 
(Описательная статистика)
</t>
  </si>
  <si>
    <t>Frequency</t>
  </si>
  <si>
    <t>МИН</t>
  </si>
  <si>
    <t>МАКС</t>
  </si>
  <si>
    <t>СРЗНАЧ</t>
  </si>
  <si>
    <t>St.dev</t>
  </si>
  <si>
    <t>Median</t>
  </si>
  <si>
    <t>МЕДИАН</t>
  </si>
  <si>
    <t>a</t>
  </si>
  <si>
    <t>c</t>
  </si>
  <si>
    <t>e</t>
  </si>
  <si>
    <t>g</t>
  </si>
  <si>
    <t>i</t>
  </si>
  <si>
    <t>m</t>
  </si>
  <si>
    <t>o</t>
  </si>
  <si>
    <t>Квартиль1</t>
  </si>
  <si>
    <t>Квартиль3</t>
  </si>
  <si>
    <t>Межквартиль.Д</t>
  </si>
  <si>
    <t>Верхняя граница</t>
  </si>
  <si>
    <t>Нижняя граница</t>
  </si>
  <si>
    <t>Outlier, L</t>
  </si>
  <si>
    <t>Outlier, N</t>
  </si>
  <si>
    <t>Outlier, H</t>
  </si>
  <si>
    <t>Outlier, Pпл</t>
  </si>
  <si>
    <t>Outlier, k</t>
  </si>
  <si>
    <t>Outlier, μ oil</t>
  </si>
  <si>
    <t>Outlier, Az</t>
  </si>
  <si>
    <t>Outlier, Mprop</t>
  </si>
  <si>
    <t>Outlier, Xf</t>
  </si>
  <si>
    <t>Outlier, Height</t>
  </si>
  <si>
    <t>Outlier, Width</t>
  </si>
  <si>
    <t>Outlier, Pзаб</t>
  </si>
  <si>
    <t>Outlier, dP</t>
  </si>
  <si>
    <t>Outlier, WLPR</t>
  </si>
  <si>
    <t>Outlier, WOPR</t>
  </si>
  <si>
    <t>истин</t>
  </si>
  <si>
    <t>q</t>
  </si>
  <si>
    <t>s</t>
  </si>
  <si>
    <t>u</t>
  </si>
  <si>
    <t>w</t>
  </si>
  <si>
    <t>y</t>
  </si>
  <si>
    <t>aa</t>
  </si>
  <si>
    <t>ac</t>
  </si>
  <si>
    <t>Дебит воды скважины, м3/сут</t>
  </si>
  <si>
    <t>WWPR, м3/сут</t>
  </si>
  <si>
    <t>Outlier, WWPR</t>
  </si>
  <si>
    <t>Карман</t>
  </si>
  <si>
    <t>Еще</t>
  </si>
  <si>
    <t>Частота</t>
  </si>
  <si>
    <t>Интегральный %</t>
  </si>
  <si>
    <t>Легенда:</t>
  </si>
  <si>
    <t>Целевая функция</t>
  </si>
  <si>
    <t>Необходимый параметр</t>
  </si>
  <si>
    <t>Косвенный параметр</t>
  </si>
  <si>
    <t>Спорный параметр</t>
  </si>
  <si>
    <t>Корреляция исходных данных</t>
  </si>
  <si>
    <t>Корреляция нормализованных данных</t>
  </si>
  <si>
    <t>Разница между корреляциями</t>
  </si>
  <si>
    <t>Дебит нефти, дискретное значение</t>
  </si>
  <si>
    <t>Дебит нефти скважины, дискретное</t>
  </si>
  <si>
    <t>Комментарий: дискретные значения по дебиту нефти в корреляции исходных данных не рассчитывается из-за наличия нулевых значений</t>
  </si>
  <si>
    <r>
      <t>Дебит нефти скважины (</t>
    </r>
    <r>
      <rPr>
        <b/>
        <sz val="11"/>
        <color theme="7" tint="0.39997558519241921"/>
        <rFont val="Calibri"/>
        <family val="2"/>
        <charset val="204"/>
        <scheme val="minor"/>
      </rPr>
      <t>для графика, меньше среднего</t>
    </r>
    <r>
      <rPr>
        <b/>
        <sz val="11"/>
        <color theme="1"/>
        <rFont val="Calibri"/>
        <family val="2"/>
        <charset val="204"/>
        <scheme val="minor"/>
      </rPr>
      <t>), м3/сут</t>
    </r>
  </si>
  <si>
    <r>
      <t>Дебит нефти скважины (</t>
    </r>
    <r>
      <rPr>
        <b/>
        <sz val="11"/>
        <color theme="7" tint="0.39997558519241921"/>
        <rFont val="Calibri"/>
        <family val="2"/>
        <charset val="204"/>
        <scheme val="minor"/>
      </rPr>
      <t>для графика, больше среднего</t>
    </r>
    <r>
      <rPr>
        <b/>
        <sz val="11"/>
        <color theme="1"/>
        <rFont val="Calibri"/>
        <family val="2"/>
        <charset val="204"/>
        <scheme val="minor"/>
      </rPr>
      <t>), м3/сут</t>
    </r>
  </si>
  <si>
    <t>Дебит нефти скважины (для графика, меньше среднего), м3/сут</t>
  </si>
  <si>
    <t>Дебит нефти скважины (для графика, больше среднего), м3/сут</t>
  </si>
  <si>
    <t/>
  </si>
  <si>
    <t>Rad</t>
  </si>
  <si>
    <t>Mosh</t>
  </si>
  <si>
    <t>Pla</t>
  </si>
  <si>
    <t>Pro</t>
  </si>
  <si>
    <t>Vas</t>
  </si>
  <si>
    <t>Mass</t>
  </si>
  <si>
    <t>Pol</t>
  </si>
  <si>
    <t>Vis</t>
  </si>
  <si>
    <t>Shi</t>
  </si>
  <si>
    <t>Dep</t>
  </si>
  <si>
    <t>Y</t>
  </si>
  <si>
    <t>Depn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</si>
</sst>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2"/>
      <name val="Calibri"/>
      <family val="2"/>
      <charset val="204"/>
      <scheme val="minor"/>
    </font>
    <font>
      <i/>
      <sz val="11"/>
      <color theme="2"/>
      <name val="Calibri"/>
      <family val="2"/>
      <charset val="204"/>
      <scheme val="minor"/>
    </font>
    <font>
      <sz val="11"/>
      <color theme="2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1"/>
      <color theme="0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theme="7" tint="0.3999755851924192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2" fillId="0" borderId="2" xfId="0" applyFont="1" applyBorder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/>
    <xf numFmtId="0" fontId="1" fillId="4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2" fontId="1" fillId="4" borderId="0" xfId="0" applyNumberFormat="1" applyFont="1" applyFill="1" applyAlignment="1">
      <alignment horizontal="center" vertical="center"/>
    </xf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2" fontId="1" fillId="5" borderId="0" xfId="0" applyNumberFormat="1" applyFont="1" applyFill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5" fillId="0" borderId="0" xfId="0" applyFont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0" fontId="7" fillId="5" borderId="0" xfId="0" applyFont="1" applyFill="1"/>
    <xf numFmtId="2" fontId="3" fillId="5" borderId="1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6" fillId="4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2" fontId="1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6" fillId="3" borderId="0" xfId="0" applyNumberFormat="1" applyFont="1" applyFill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9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2" fontId="0" fillId="5" borderId="0" xfId="0" applyNumberFormat="1" applyFill="1"/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4" borderId="1" xfId="0" applyFill="1" applyBorder="1"/>
    <xf numFmtId="0" fontId="2" fillId="4" borderId="2" xfId="0" applyFont="1" applyFill="1" applyBorder="1" applyAlignment="1">
      <alignment horizontal="center"/>
    </xf>
    <xf numFmtId="0" fontId="10" fillId="4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" fillId="0" borderId="4" xfId="0" applyFont="1" applyBorder="1" applyAlignment="1">
      <alignment horizontal="center"/>
    </xf>
    <xf numFmtId="0" fontId="0" fillId="0" borderId="19" xfId="0" applyBorder="1"/>
    <xf numFmtId="0" fontId="0" fillId="0" borderId="9" xfId="0" applyBorder="1"/>
    <xf numFmtId="0" fontId="0" fillId="0" borderId="10" xfId="0" applyBorder="1"/>
    <xf numFmtId="0" fontId="1" fillId="2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left" vertical="center"/>
    </xf>
  </cellXfs>
  <cellStyles count="1">
    <cellStyle name="Обычный" xfId="0" builtinId="0"/>
  </cellStyles>
  <dxfs count="43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C0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Радиус зоны дренирования, 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Master!$A$3:$A$187</c:f>
              <c:numCache>
                <c:formatCode>0.00</c:formatCode>
                <c:ptCount val="185"/>
                <c:pt idx="0">
                  <c:v>720</c:v>
                </c:pt>
                <c:pt idx="1">
                  <c:v>700</c:v>
                </c:pt>
                <c:pt idx="2">
                  <c:v>660</c:v>
                </c:pt>
                <c:pt idx="3">
                  <c:v>650</c:v>
                </c:pt>
                <c:pt idx="4">
                  <c:v>675</c:v>
                </c:pt>
                <c:pt idx="5">
                  <c:v>680</c:v>
                </c:pt>
                <c:pt idx="6">
                  <c:v>670</c:v>
                </c:pt>
                <c:pt idx="7">
                  <c:v>300</c:v>
                </c:pt>
                <c:pt idx="8">
                  <c:v>250</c:v>
                </c:pt>
                <c:pt idx="9">
                  <c:v>715</c:v>
                </c:pt>
                <c:pt idx="10">
                  <c:v>700</c:v>
                </c:pt>
                <c:pt idx="11">
                  <c:v>640</c:v>
                </c:pt>
                <c:pt idx="12">
                  <c:v>750</c:v>
                </c:pt>
                <c:pt idx="13">
                  <c:v>375</c:v>
                </c:pt>
                <c:pt idx="14">
                  <c:v>670</c:v>
                </c:pt>
                <c:pt idx="15">
                  <c:v>470</c:v>
                </c:pt>
                <c:pt idx="16">
                  <c:v>690</c:v>
                </c:pt>
                <c:pt idx="17">
                  <c:v>380</c:v>
                </c:pt>
                <c:pt idx="18">
                  <c:v>700</c:v>
                </c:pt>
                <c:pt idx="19">
                  <c:v>690</c:v>
                </c:pt>
                <c:pt idx="20">
                  <c:v>669</c:v>
                </c:pt>
                <c:pt idx="21">
                  <c:v>705</c:v>
                </c:pt>
                <c:pt idx="22">
                  <c:v>590</c:v>
                </c:pt>
                <c:pt idx="23">
                  <c:v>640</c:v>
                </c:pt>
                <c:pt idx="24">
                  <c:v>690</c:v>
                </c:pt>
                <c:pt idx="25">
                  <c:v>655</c:v>
                </c:pt>
                <c:pt idx="26">
                  <c:v>700</c:v>
                </c:pt>
                <c:pt idx="27">
                  <c:v>640</c:v>
                </c:pt>
                <c:pt idx="28">
                  <c:v>700</c:v>
                </c:pt>
                <c:pt idx="29">
                  <c:v>610</c:v>
                </c:pt>
                <c:pt idx="30">
                  <c:v>690</c:v>
                </c:pt>
                <c:pt idx="31">
                  <c:v>700</c:v>
                </c:pt>
                <c:pt idx="32">
                  <c:v>700</c:v>
                </c:pt>
                <c:pt idx="33">
                  <c:v>660</c:v>
                </c:pt>
                <c:pt idx="34">
                  <c:v>695</c:v>
                </c:pt>
                <c:pt idx="35">
                  <c:v>695</c:v>
                </c:pt>
                <c:pt idx="36">
                  <c:v>700</c:v>
                </c:pt>
                <c:pt idx="37">
                  <c:v>740</c:v>
                </c:pt>
                <c:pt idx="38">
                  <c:v>715</c:v>
                </c:pt>
                <c:pt idx="39">
                  <c:v>680</c:v>
                </c:pt>
                <c:pt idx="40">
                  <c:v>690</c:v>
                </c:pt>
                <c:pt idx="41">
                  <c:v>675</c:v>
                </c:pt>
                <c:pt idx="42">
                  <c:v>675</c:v>
                </c:pt>
                <c:pt idx="43">
                  <c:v>700</c:v>
                </c:pt>
                <c:pt idx="44">
                  <c:v>700</c:v>
                </c:pt>
                <c:pt idx="45">
                  <c:v>720</c:v>
                </c:pt>
                <c:pt idx="46">
                  <c:v>665</c:v>
                </c:pt>
                <c:pt idx="47">
                  <c:v>690</c:v>
                </c:pt>
                <c:pt idx="48">
                  <c:v>700</c:v>
                </c:pt>
                <c:pt idx="49">
                  <c:v>700</c:v>
                </c:pt>
                <c:pt idx="50">
                  <c:v>238</c:v>
                </c:pt>
                <c:pt idx="51">
                  <c:v>697</c:v>
                </c:pt>
                <c:pt idx="52">
                  <c:v>721</c:v>
                </c:pt>
                <c:pt idx="53">
                  <c:v>260</c:v>
                </c:pt>
                <c:pt idx="54">
                  <c:v>698</c:v>
                </c:pt>
                <c:pt idx="55">
                  <c:v>737</c:v>
                </c:pt>
                <c:pt idx="56">
                  <c:v>700</c:v>
                </c:pt>
                <c:pt idx="57">
                  <c:v>729</c:v>
                </c:pt>
                <c:pt idx="58">
                  <c:v>708</c:v>
                </c:pt>
                <c:pt idx="59">
                  <c:v>701</c:v>
                </c:pt>
                <c:pt idx="60">
                  <c:v>750</c:v>
                </c:pt>
                <c:pt idx="61">
                  <c:v>715</c:v>
                </c:pt>
                <c:pt idx="62">
                  <c:v>740</c:v>
                </c:pt>
                <c:pt idx="63">
                  <c:v>700</c:v>
                </c:pt>
                <c:pt idx="64">
                  <c:v>695</c:v>
                </c:pt>
                <c:pt idx="65">
                  <c:v>735</c:v>
                </c:pt>
                <c:pt idx="66">
                  <c:v>680</c:v>
                </c:pt>
                <c:pt idx="67">
                  <c:v>714</c:v>
                </c:pt>
                <c:pt idx="68">
                  <c:v>697</c:v>
                </c:pt>
                <c:pt idx="69">
                  <c:v>700</c:v>
                </c:pt>
                <c:pt idx="70">
                  <c:v>746</c:v>
                </c:pt>
                <c:pt idx="71">
                  <c:v>715</c:v>
                </c:pt>
                <c:pt idx="72">
                  <c:v>330</c:v>
                </c:pt>
                <c:pt idx="73">
                  <c:v>230</c:v>
                </c:pt>
                <c:pt idx="74">
                  <c:v>523</c:v>
                </c:pt>
                <c:pt idx="75">
                  <c:v>310</c:v>
                </c:pt>
                <c:pt idx="76">
                  <c:v>350</c:v>
                </c:pt>
                <c:pt idx="77">
                  <c:v>180</c:v>
                </c:pt>
                <c:pt idx="78">
                  <c:v>326</c:v>
                </c:pt>
                <c:pt idx="79">
                  <c:v>190</c:v>
                </c:pt>
                <c:pt idx="80">
                  <c:v>310</c:v>
                </c:pt>
                <c:pt idx="81">
                  <c:v>230</c:v>
                </c:pt>
                <c:pt idx="82">
                  <c:v>289</c:v>
                </c:pt>
                <c:pt idx="83">
                  <c:v>346</c:v>
                </c:pt>
                <c:pt idx="84">
                  <c:v>420</c:v>
                </c:pt>
                <c:pt idx="85">
                  <c:v>309</c:v>
                </c:pt>
                <c:pt idx="86">
                  <c:v>330</c:v>
                </c:pt>
                <c:pt idx="87">
                  <c:v>250</c:v>
                </c:pt>
                <c:pt idx="88">
                  <c:v>360</c:v>
                </c:pt>
                <c:pt idx="89">
                  <c:v>300</c:v>
                </c:pt>
                <c:pt idx="90">
                  <c:v>270</c:v>
                </c:pt>
                <c:pt idx="91">
                  <c:v>200</c:v>
                </c:pt>
                <c:pt idx="92">
                  <c:v>296</c:v>
                </c:pt>
                <c:pt idx="93">
                  <c:v>270</c:v>
                </c:pt>
                <c:pt idx="94">
                  <c:v>310</c:v>
                </c:pt>
                <c:pt idx="95">
                  <c:v>230</c:v>
                </c:pt>
                <c:pt idx="96">
                  <c:v>330</c:v>
                </c:pt>
                <c:pt idx="97">
                  <c:v>300</c:v>
                </c:pt>
                <c:pt idx="98">
                  <c:v>238</c:v>
                </c:pt>
                <c:pt idx="99">
                  <c:v>300</c:v>
                </c:pt>
                <c:pt idx="100">
                  <c:v>290</c:v>
                </c:pt>
                <c:pt idx="101">
                  <c:v>304</c:v>
                </c:pt>
                <c:pt idx="102">
                  <c:v>266</c:v>
                </c:pt>
                <c:pt idx="103">
                  <c:v>320</c:v>
                </c:pt>
                <c:pt idx="104">
                  <c:v>501</c:v>
                </c:pt>
                <c:pt idx="105">
                  <c:v>620</c:v>
                </c:pt>
                <c:pt idx="106">
                  <c:v>490</c:v>
                </c:pt>
                <c:pt idx="107">
                  <c:v>513</c:v>
                </c:pt>
                <c:pt idx="108">
                  <c:v>420</c:v>
                </c:pt>
                <c:pt idx="109">
                  <c:v>510</c:v>
                </c:pt>
                <c:pt idx="110">
                  <c:v>650</c:v>
                </c:pt>
                <c:pt idx="111">
                  <c:v>640</c:v>
                </c:pt>
                <c:pt idx="112">
                  <c:v>507</c:v>
                </c:pt>
                <c:pt idx="113">
                  <c:v>320</c:v>
                </c:pt>
                <c:pt idx="114">
                  <c:v>480</c:v>
                </c:pt>
                <c:pt idx="115">
                  <c:v>509</c:v>
                </c:pt>
                <c:pt idx="116">
                  <c:v>478</c:v>
                </c:pt>
                <c:pt idx="117">
                  <c:v>500</c:v>
                </c:pt>
                <c:pt idx="118">
                  <c:v>490</c:v>
                </c:pt>
                <c:pt idx="119">
                  <c:v>470</c:v>
                </c:pt>
                <c:pt idx="120">
                  <c:v>370</c:v>
                </c:pt>
                <c:pt idx="121">
                  <c:v>480</c:v>
                </c:pt>
                <c:pt idx="122">
                  <c:v>287</c:v>
                </c:pt>
                <c:pt idx="123">
                  <c:v>170</c:v>
                </c:pt>
                <c:pt idx="124">
                  <c:v>569</c:v>
                </c:pt>
                <c:pt idx="125">
                  <c:v>270</c:v>
                </c:pt>
                <c:pt idx="126">
                  <c:v>400</c:v>
                </c:pt>
                <c:pt idx="127">
                  <c:v>260</c:v>
                </c:pt>
                <c:pt idx="128">
                  <c:v>300</c:v>
                </c:pt>
                <c:pt idx="129">
                  <c:v>330</c:v>
                </c:pt>
                <c:pt idx="130">
                  <c:v>310</c:v>
                </c:pt>
                <c:pt idx="131">
                  <c:v>190</c:v>
                </c:pt>
                <c:pt idx="132">
                  <c:v>420</c:v>
                </c:pt>
                <c:pt idx="133">
                  <c:v>250</c:v>
                </c:pt>
                <c:pt idx="134">
                  <c:v>300</c:v>
                </c:pt>
                <c:pt idx="135">
                  <c:v>304</c:v>
                </c:pt>
                <c:pt idx="136">
                  <c:v>266</c:v>
                </c:pt>
                <c:pt idx="137">
                  <c:v>260</c:v>
                </c:pt>
                <c:pt idx="138">
                  <c:v>300</c:v>
                </c:pt>
                <c:pt idx="139">
                  <c:v>330</c:v>
                </c:pt>
                <c:pt idx="140">
                  <c:v>501</c:v>
                </c:pt>
                <c:pt idx="141">
                  <c:v>490</c:v>
                </c:pt>
                <c:pt idx="142">
                  <c:v>330</c:v>
                </c:pt>
                <c:pt idx="143">
                  <c:v>230</c:v>
                </c:pt>
                <c:pt idx="144">
                  <c:v>523</c:v>
                </c:pt>
                <c:pt idx="145">
                  <c:v>350</c:v>
                </c:pt>
                <c:pt idx="146">
                  <c:v>180</c:v>
                </c:pt>
                <c:pt idx="147">
                  <c:v>326</c:v>
                </c:pt>
                <c:pt idx="148">
                  <c:v>310</c:v>
                </c:pt>
                <c:pt idx="149">
                  <c:v>230</c:v>
                </c:pt>
                <c:pt idx="150">
                  <c:v>289</c:v>
                </c:pt>
                <c:pt idx="151">
                  <c:v>346</c:v>
                </c:pt>
                <c:pt idx="152">
                  <c:v>309</c:v>
                </c:pt>
                <c:pt idx="153">
                  <c:v>330</c:v>
                </c:pt>
                <c:pt idx="154">
                  <c:v>360</c:v>
                </c:pt>
                <c:pt idx="155">
                  <c:v>300</c:v>
                </c:pt>
                <c:pt idx="156">
                  <c:v>270</c:v>
                </c:pt>
                <c:pt idx="157">
                  <c:v>200</c:v>
                </c:pt>
                <c:pt idx="158">
                  <c:v>296</c:v>
                </c:pt>
                <c:pt idx="159">
                  <c:v>270</c:v>
                </c:pt>
                <c:pt idx="160">
                  <c:v>310</c:v>
                </c:pt>
                <c:pt idx="161">
                  <c:v>230</c:v>
                </c:pt>
                <c:pt idx="162">
                  <c:v>300</c:v>
                </c:pt>
                <c:pt idx="163">
                  <c:v>290</c:v>
                </c:pt>
                <c:pt idx="164">
                  <c:v>320</c:v>
                </c:pt>
                <c:pt idx="165">
                  <c:v>490</c:v>
                </c:pt>
                <c:pt idx="166">
                  <c:v>513</c:v>
                </c:pt>
                <c:pt idx="167">
                  <c:v>420</c:v>
                </c:pt>
                <c:pt idx="168">
                  <c:v>510</c:v>
                </c:pt>
                <c:pt idx="169">
                  <c:v>650</c:v>
                </c:pt>
                <c:pt idx="170">
                  <c:v>640</c:v>
                </c:pt>
                <c:pt idx="171">
                  <c:v>507</c:v>
                </c:pt>
                <c:pt idx="172">
                  <c:v>480</c:v>
                </c:pt>
                <c:pt idx="173">
                  <c:v>509</c:v>
                </c:pt>
                <c:pt idx="174">
                  <c:v>478</c:v>
                </c:pt>
                <c:pt idx="175">
                  <c:v>500</c:v>
                </c:pt>
                <c:pt idx="176">
                  <c:v>470</c:v>
                </c:pt>
                <c:pt idx="177">
                  <c:v>370</c:v>
                </c:pt>
                <c:pt idx="178">
                  <c:v>480</c:v>
                </c:pt>
                <c:pt idx="179">
                  <c:v>287</c:v>
                </c:pt>
                <c:pt idx="180">
                  <c:v>170</c:v>
                </c:pt>
                <c:pt idx="181">
                  <c:v>569</c:v>
                </c:pt>
                <c:pt idx="182">
                  <c:v>270</c:v>
                </c:pt>
                <c:pt idx="183">
                  <c:v>400</c:v>
                </c:pt>
                <c:pt idx="184">
                  <c:v>330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E-423D-8E3B-DEFCCAC7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стадий ГРП, шт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Master!$C$3:$C$187</c:f>
              <c:numCache>
                <c:formatCode>0.00</c:formatCode>
                <c:ptCount val="18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3</c:v>
                </c:pt>
                <c:pt idx="18">
                  <c:v>5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6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6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3</c:v>
                </c:pt>
                <c:pt idx="51">
                  <c:v>5</c:v>
                </c:pt>
                <c:pt idx="52">
                  <c:v>5</c:v>
                </c:pt>
                <c:pt idx="53">
                  <c:v>3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5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5</c:v>
                </c:pt>
                <c:pt idx="63">
                  <c:v>5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5</c:v>
                </c:pt>
                <c:pt idx="71">
                  <c:v>6</c:v>
                </c:pt>
                <c:pt idx="72">
                  <c:v>3</c:v>
                </c:pt>
                <c:pt idx="73">
                  <c:v>3</c:v>
                </c:pt>
                <c:pt idx="74">
                  <c:v>9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4</c:v>
                </c:pt>
                <c:pt idx="82">
                  <c:v>3</c:v>
                </c:pt>
                <c:pt idx="83">
                  <c:v>3</c:v>
                </c:pt>
                <c:pt idx="84">
                  <c:v>10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4</c:v>
                </c:pt>
                <c:pt idx="90">
                  <c:v>3</c:v>
                </c:pt>
                <c:pt idx="91">
                  <c:v>3</c:v>
                </c:pt>
                <c:pt idx="92">
                  <c:v>4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5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4</c:v>
                </c:pt>
                <c:pt idx="107">
                  <c:v>5</c:v>
                </c:pt>
                <c:pt idx="108">
                  <c:v>3</c:v>
                </c:pt>
                <c:pt idx="109">
                  <c:v>10</c:v>
                </c:pt>
                <c:pt idx="110">
                  <c:v>3</c:v>
                </c:pt>
                <c:pt idx="111">
                  <c:v>10</c:v>
                </c:pt>
                <c:pt idx="112">
                  <c:v>9</c:v>
                </c:pt>
                <c:pt idx="113">
                  <c:v>10</c:v>
                </c:pt>
                <c:pt idx="114">
                  <c:v>7</c:v>
                </c:pt>
                <c:pt idx="115">
                  <c:v>10</c:v>
                </c:pt>
                <c:pt idx="116">
                  <c:v>10</c:v>
                </c:pt>
                <c:pt idx="117">
                  <c:v>10</c:v>
                </c:pt>
                <c:pt idx="118">
                  <c:v>9</c:v>
                </c:pt>
                <c:pt idx="119">
                  <c:v>10</c:v>
                </c:pt>
                <c:pt idx="120">
                  <c:v>8</c:v>
                </c:pt>
                <c:pt idx="121">
                  <c:v>11</c:v>
                </c:pt>
                <c:pt idx="122">
                  <c:v>3</c:v>
                </c:pt>
                <c:pt idx="123">
                  <c:v>4</c:v>
                </c:pt>
                <c:pt idx="124">
                  <c:v>11</c:v>
                </c:pt>
                <c:pt idx="125">
                  <c:v>3</c:v>
                </c:pt>
                <c:pt idx="126">
                  <c:v>4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10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5</c:v>
                </c:pt>
                <c:pt idx="140">
                  <c:v>3</c:v>
                </c:pt>
                <c:pt idx="141">
                  <c:v>9</c:v>
                </c:pt>
                <c:pt idx="142">
                  <c:v>3</c:v>
                </c:pt>
                <c:pt idx="143">
                  <c:v>3</c:v>
                </c:pt>
                <c:pt idx="144">
                  <c:v>9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4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4</c:v>
                </c:pt>
                <c:pt idx="156">
                  <c:v>3</c:v>
                </c:pt>
                <c:pt idx="157">
                  <c:v>3</c:v>
                </c:pt>
                <c:pt idx="158">
                  <c:v>4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4</c:v>
                </c:pt>
                <c:pt idx="166">
                  <c:v>5</c:v>
                </c:pt>
                <c:pt idx="167">
                  <c:v>3</c:v>
                </c:pt>
                <c:pt idx="168">
                  <c:v>10</c:v>
                </c:pt>
                <c:pt idx="169">
                  <c:v>3</c:v>
                </c:pt>
                <c:pt idx="170">
                  <c:v>10</c:v>
                </c:pt>
                <c:pt idx="171">
                  <c:v>9</c:v>
                </c:pt>
                <c:pt idx="172">
                  <c:v>7</c:v>
                </c:pt>
                <c:pt idx="173">
                  <c:v>10</c:v>
                </c:pt>
                <c:pt idx="174">
                  <c:v>10</c:v>
                </c:pt>
                <c:pt idx="175">
                  <c:v>10</c:v>
                </c:pt>
                <c:pt idx="176">
                  <c:v>10</c:v>
                </c:pt>
                <c:pt idx="177">
                  <c:v>8</c:v>
                </c:pt>
                <c:pt idx="178">
                  <c:v>11</c:v>
                </c:pt>
                <c:pt idx="179">
                  <c:v>3</c:v>
                </c:pt>
                <c:pt idx="180">
                  <c:v>4</c:v>
                </c:pt>
                <c:pt idx="181">
                  <c:v>11</c:v>
                </c:pt>
                <c:pt idx="182">
                  <c:v>3</c:v>
                </c:pt>
                <c:pt idx="183">
                  <c:v>4</c:v>
                </c:pt>
                <c:pt idx="18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7-40A7-B60C-3D891FC54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Мощнось продуктивного пласта, 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Master!$E$3:$E$187</c:f>
              <c:numCache>
                <c:formatCode>0.00</c:formatCode>
                <c:ptCount val="185"/>
                <c:pt idx="0">
                  <c:v>2</c:v>
                </c:pt>
                <c:pt idx="1">
                  <c:v>4</c:v>
                </c:pt>
                <c:pt idx="2">
                  <c:v>1.4</c:v>
                </c:pt>
                <c:pt idx="3">
                  <c:v>1.9</c:v>
                </c:pt>
                <c:pt idx="4">
                  <c:v>1.5</c:v>
                </c:pt>
                <c:pt idx="5">
                  <c:v>1.5</c:v>
                </c:pt>
                <c:pt idx="6">
                  <c:v>2.2000000000000002</c:v>
                </c:pt>
                <c:pt idx="7">
                  <c:v>2.4</c:v>
                </c:pt>
                <c:pt idx="8">
                  <c:v>2.4</c:v>
                </c:pt>
                <c:pt idx="9">
                  <c:v>2.2000000000000002</c:v>
                </c:pt>
                <c:pt idx="10">
                  <c:v>3.7</c:v>
                </c:pt>
                <c:pt idx="11">
                  <c:v>1.5</c:v>
                </c:pt>
                <c:pt idx="12">
                  <c:v>1</c:v>
                </c:pt>
                <c:pt idx="13">
                  <c:v>2</c:v>
                </c:pt>
                <c:pt idx="14">
                  <c:v>1.4</c:v>
                </c:pt>
                <c:pt idx="15">
                  <c:v>3.2</c:v>
                </c:pt>
                <c:pt idx="16">
                  <c:v>4</c:v>
                </c:pt>
                <c:pt idx="17">
                  <c:v>2.6</c:v>
                </c:pt>
                <c:pt idx="18">
                  <c:v>3</c:v>
                </c:pt>
                <c:pt idx="19">
                  <c:v>2.2999999999999998</c:v>
                </c:pt>
                <c:pt idx="20">
                  <c:v>4</c:v>
                </c:pt>
                <c:pt idx="21">
                  <c:v>3.2</c:v>
                </c:pt>
                <c:pt idx="22">
                  <c:v>2.5</c:v>
                </c:pt>
                <c:pt idx="23">
                  <c:v>2.5</c:v>
                </c:pt>
                <c:pt idx="24">
                  <c:v>2</c:v>
                </c:pt>
                <c:pt idx="25">
                  <c:v>2.6</c:v>
                </c:pt>
                <c:pt idx="26">
                  <c:v>5</c:v>
                </c:pt>
                <c:pt idx="27">
                  <c:v>5.5</c:v>
                </c:pt>
                <c:pt idx="28">
                  <c:v>5.2</c:v>
                </c:pt>
                <c:pt idx="29">
                  <c:v>4.5999999999999996</c:v>
                </c:pt>
                <c:pt idx="30">
                  <c:v>5</c:v>
                </c:pt>
                <c:pt idx="31">
                  <c:v>2</c:v>
                </c:pt>
                <c:pt idx="32">
                  <c:v>0.8</c:v>
                </c:pt>
                <c:pt idx="33">
                  <c:v>5.2</c:v>
                </c:pt>
                <c:pt idx="34">
                  <c:v>4.0999999999999996</c:v>
                </c:pt>
                <c:pt idx="35">
                  <c:v>7.4</c:v>
                </c:pt>
                <c:pt idx="36">
                  <c:v>5</c:v>
                </c:pt>
                <c:pt idx="37">
                  <c:v>2.2000000000000002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3.7</c:v>
                </c:pt>
                <c:pt idx="42">
                  <c:v>5.2</c:v>
                </c:pt>
                <c:pt idx="43">
                  <c:v>6.8</c:v>
                </c:pt>
                <c:pt idx="44">
                  <c:v>4.5999999999999996</c:v>
                </c:pt>
                <c:pt idx="45">
                  <c:v>7.8</c:v>
                </c:pt>
                <c:pt idx="46">
                  <c:v>5</c:v>
                </c:pt>
                <c:pt idx="47">
                  <c:v>5.0999999999999996</c:v>
                </c:pt>
                <c:pt idx="48">
                  <c:v>5.5</c:v>
                </c:pt>
                <c:pt idx="49">
                  <c:v>4.5</c:v>
                </c:pt>
                <c:pt idx="50">
                  <c:v>2.1</c:v>
                </c:pt>
                <c:pt idx="51">
                  <c:v>4.5</c:v>
                </c:pt>
                <c:pt idx="52">
                  <c:v>7.8</c:v>
                </c:pt>
                <c:pt idx="53">
                  <c:v>1.6</c:v>
                </c:pt>
                <c:pt idx="54">
                  <c:v>3</c:v>
                </c:pt>
                <c:pt idx="55">
                  <c:v>4</c:v>
                </c:pt>
                <c:pt idx="56">
                  <c:v>3</c:v>
                </c:pt>
                <c:pt idx="57">
                  <c:v>4</c:v>
                </c:pt>
                <c:pt idx="58">
                  <c:v>3.5</c:v>
                </c:pt>
                <c:pt idx="59">
                  <c:v>3.5</c:v>
                </c:pt>
                <c:pt idx="60">
                  <c:v>4</c:v>
                </c:pt>
                <c:pt idx="61">
                  <c:v>10.3</c:v>
                </c:pt>
                <c:pt idx="62">
                  <c:v>17</c:v>
                </c:pt>
                <c:pt idx="63">
                  <c:v>17</c:v>
                </c:pt>
                <c:pt idx="64">
                  <c:v>4</c:v>
                </c:pt>
                <c:pt idx="65">
                  <c:v>3.8</c:v>
                </c:pt>
                <c:pt idx="66">
                  <c:v>3.5</c:v>
                </c:pt>
                <c:pt idx="67">
                  <c:v>3.5</c:v>
                </c:pt>
                <c:pt idx="68">
                  <c:v>3</c:v>
                </c:pt>
                <c:pt idx="69">
                  <c:v>17</c:v>
                </c:pt>
                <c:pt idx="70">
                  <c:v>3.4</c:v>
                </c:pt>
                <c:pt idx="71">
                  <c:v>3.5</c:v>
                </c:pt>
                <c:pt idx="72">
                  <c:v>4</c:v>
                </c:pt>
                <c:pt idx="73">
                  <c:v>6</c:v>
                </c:pt>
                <c:pt idx="74">
                  <c:v>7</c:v>
                </c:pt>
                <c:pt idx="75">
                  <c:v>3</c:v>
                </c:pt>
                <c:pt idx="76">
                  <c:v>4</c:v>
                </c:pt>
                <c:pt idx="77">
                  <c:v>6</c:v>
                </c:pt>
                <c:pt idx="78">
                  <c:v>5</c:v>
                </c:pt>
                <c:pt idx="79">
                  <c:v>5</c:v>
                </c:pt>
                <c:pt idx="80">
                  <c:v>16</c:v>
                </c:pt>
                <c:pt idx="81">
                  <c:v>4</c:v>
                </c:pt>
                <c:pt idx="82">
                  <c:v>6</c:v>
                </c:pt>
                <c:pt idx="83">
                  <c:v>7</c:v>
                </c:pt>
                <c:pt idx="84">
                  <c:v>12</c:v>
                </c:pt>
                <c:pt idx="85">
                  <c:v>10</c:v>
                </c:pt>
                <c:pt idx="86">
                  <c:v>4</c:v>
                </c:pt>
                <c:pt idx="87">
                  <c:v>6</c:v>
                </c:pt>
                <c:pt idx="88">
                  <c:v>10</c:v>
                </c:pt>
                <c:pt idx="89">
                  <c:v>3</c:v>
                </c:pt>
                <c:pt idx="90">
                  <c:v>6</c:v>
                </c:pt>
                <c:pt idx="91">
                  <c:v>3</c:v>
                </c:pt>
                <c:pt idx="92">
                  <c:v>8</c:v>
                </c:pt>
                <c:pt idx="93">
                  <c:v>4</c:v>
                </c:pt>
                <c:pt idx="94">
                  <c:v>4</c:v>
                </c:pt>
                <c:pt idx="95">
                  <c:v>5</c:v>
                </c:pt>
                <c:pt idx="96">
                  <c:v>7</c:v>
                </c:pt>
                <c:pt idx="97">
                  <c:v>10</c:v>
                </c:pt>
                <c:pt idx="98">
                  <c:v>5</c:v>
                </c:pt>
                <c:pt idx="99">
                  <c:v>11</c:v>
                </c:pt>
                <c:pt idx="100">
                  <c:v>5</c:v>
                </c:pt>
                <c:pt idx="101">
                  <c:v>6</c:v>
                </c:pt>
                <c:pt idx="102">
                  <c:v>7</c:v>
                </c:pt>
                <c:pt idx="103">
                  <c:v>7</c:v>
                </c:pt>
                <c:pt idx="104">
                  <c:v>6</c:v>
                </c:pt>
                <c:pt idx="105">
                  <c:v>6</c:v>
                </c:pt>
                <c:pt idx="106">
                  <c:v>4</c:v>
                </c:pt>
                <c:pt idx="107">
                  <c:v>2</c:v>
                </c:pt>
                <c:pt idx="108">
                  <c:v>8</c:v>
                </c:pt>
                <c:pt idx="109">
                  <c:v>6</c:v>
                </c:pt>
                <c:pt idx="110">
                  <c:v>6</c:v>
                </c:pt>
                <c:pt idx="111">
                  <c:v>2</c:v>
                </c:pt>
                <c:pt idx="112">
                  <c:v>8</c:v>
                </c:pt>
                <c:pt idx="113">
                  <c:v>14</c:v>
                </c:pt>
                <c:pt idx="114">
                  <c:v>3</c:v>
                </c:pt>
                <c:pt idx="115">
                  <c:v>10</c:v>
                </c:pt>
                <c:pt idx="116">
                  <c:v>16</c:v>
                </c:pt>
                <c:pt idx="117">
                  <c:v>3</c:v>
                </c:pt>
                <c:pt idx="118">
                  <c:v>9</c:v>
                </c:pt>
                <c:pt idx="119">
                  <c:v>6</c:v>
                </c:pt>
                <c:pt idx="120">
                  <c:v>10</c:v>
                </c:pt>
                <c:pt idx="121">
                  <c:v>4</c:v>
                </c:pt>
                <c:pt idx="122">
                  <c:v>5</c:v>
                </c:pt>
                <c:pt idx="123">
                  <c:v>5</c:v>
                </c:pt>
                <c:pt idx="124">
                  <c:v>10</c:v>
                </c:pt>
                <c:pt idx="125">
                  <c:v>7</c:v>
                </c:pt>
                <c:pt idx="126">
                  <c:v>10</c:v>
                </c:pt>
                <c:pt idx="127">
                  <c:v>7</c:v>
                </c:pt>
                <c:pt idx="128">
                  <c:v>8</c:v>
                </c:pt>
                <c:pt idx="129">
                  <c:v>3</c:v>
                </c:pt>
                <c:pt idx="130">
                  <c:v>3</c:v>
                </c:pt>
                <c:pt idx="131">
                  <c:v>5</c:v>
                </c:pt>
                <c:pt idx="132">
                  <c:v>12</c:v>
                </c:pt>
                <c:pt idx="133">
                  <c:v>6</c:v>
                </c:pt>
                <c:pt idx="134">
                  <c:v>10</c:v>
                </c:pt>
                <c:pt idx="135">
                  <c:v>6</c:v>
                </c:pt>
                <c:pt idx="136">
                  <c:v>7</c:v>
                </c:pt>
                <c:pt idx="137">
                  <c:v>7</c:v>
                </c:pt>
                <c:pt idx="138">
                  <c:v>8</c:v>
                </c:pt>
                <c:pt idx="139">
                  <c:v>7</c:v>
                </c:pt>
                <c:pt idx="140">
                  <c:v>6</c:v>
                </c:pt>
                <c:pt idx="141">
                  <c:v>9</c:v>
                </c:pt>
                <c:pt idx="142">
                  <c:v>4</c:v>
                </c:pt>
                <c:pt idx="143">
                  <c:v>6</c:v>
                </c:pt>
                <c:pt idx="144">
                  <c:v>7</c:v>
                </c:pt>
                <c:pt idx="145">
                  <c:v>4</c:v>
                </c:pt>
                <c:pt idx="146">
                  <c:v>6</c:v>
                </c:pt>
                <c:pt idx="147">
                  <c:v>5</c:v>
                </c:pt>
                <c:pt idx="148">
                  <c:v>16</c:v>
                </c:pt>
                <c:pt idx="149">
                  <c:v>4</c:v>
                </c:pt>
                <c:pt idx="150">
                  <c:v>6</c:v>
                </c:pt>
                <c:pt idx="151">
                  <c:v>7</c:v>
                </c:pt>
                <c:pt idx="152">
                  <c:v>10</c:v>
                </c:pt>
                <c:pt idx="153">
                  <c:v>4</c:v>
                </c:pt>
                <c:pt idx="154">
                  <c:v>10</c:v>
                </c:pt>
                <c:pt idx="155">
                  <c:v>3</c:v>
                </c:pt>
                <c:pt idx="156">
                  <c:v>6</c:v>
                </c:pt>
                <c:pt idx="157">
                  <c:v>3</c:v>
                </c:pt>
                <c:pt idx="158">
                  <c:v>8</c:v>
                </c:pt>
                <c:pt idx="159">
                  <c:v>4</c:v>
                </c:pt>
                <c:pt idx="160">
                  <c:v>4</c:v>
                </c:pt>
                <c:pt idx="161">
                  <c:v>5</c:v>
                </c:pt>
                <c:pt idx="162">
                  <c:v>11</c:v>
                </c:pt>
                <c:pt idx="163">
                  <c:v>5</c:v>
                </c:pt>
                <c:pt idx="164">
                  <c:v>7</c:v>
                </c:pt>
                <c:pt idx="165">
                  <c:v>4</c:v>
                </c:pt>
                <c:pt idx="166">
                  <c:v>2</c:v>
                </c:pt>
                <c:pt idx="167">
                  <c:v>8</c:v>
                </c:pt>
                <c:pt idx="168">
                  <c:v>6</c:v>
                </c:pt>
                <c:pt idx="169">
                  <c:v>6</c:v>
                </c:pt>
                <c:pt idx="170">
                  <c:v>2</c:v>
                </c:pt>
                <c:pt idx="171">
                  <c:v>8</c:v>
                </c:pt>
                <c:pt idx="172">
                  <c:v>3</c:v>
                </c:pt>
                <c:pt idx="173">
                  <c:v>10</c:v>
                </c:pt>
                <c:pt idx="174">
                  <c:v>16</c:v>
                </c:pt>
                <c:pt idx="175">
                  <c:v>3</c:v>
                </c:pt>
                <c:pt idx="176">
                  <c:v>6</c:v>
                </c:pt>
                <c:pt idx="177">
                  <c:v>10</c:v>
                </c:pt>
                <c:pt idx="178">
                  <c:v>4</c:v>
                </c:pt>
                <c:pt idx="179">
                  <c:v>5</c:v>
                </c:pt>
                <c:pt idx="180">
                  <c:v>5</c:v>
                </c:pt>
                <c:pt idx="181">
                  <c:v>10</c:v>
                </c:pt>
                <c:pt idx="182">
                  <c:v>7</c:v>
                </c:pt>
                <c:pt idx="183">
                  <c:v>10</c:v>
                </c:pt>
                <c:pt idx="184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FF-483E-B0FF-61BD9ADDC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Пластовое давление, атм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Master!$G$3:$G$187</c:f>
              <c:numCache>
                <c:formatCode>0.00</c:formatCode>
                <c:ptCount val="185"/>
                <c:pt idx="0">
                  <c:v>350</c:v>
                </c:pt>
                <c:pt idx="1">
                  <c:v>360</c:v>
                </c:pt>
                <c:pt idx="2">
                  <c:v>345</c:v>
                </c:pt>
                <c:pt idx="3">
                  <c:v>335</c:v>
                </c:pt>
                <c:pt idx="4">
                  <c:v>325</c:v>
                </c:pt>
                <c:pt idx="5">
                  <c:v>280</c:v>
                </c:pt>
                <c:pt idx="6">
                  <c:v>323</c:v>
                </c:pt>
                <c:pt idx="7">
                  <c:v>360</c:v>
                </c:pt>
                <c:pt idx="8">
                  <c:v>315</c:v>
                </c:pt>
                <c:pt idx="9">
                  <c:v>345</c:v>
                </c:pt>
                <c:pt idx="10">
                  <c:v>310</c:v>
                </c:pt>
                <c:pt idx="11">
                  <c:v>315</c:v>
                </c:pt>
                <c:pt idx="12">
                  <c:v>315</c:v>
                </c:pt>
                <c:pt idx="13">
                  <c:v>285</c:v>
                </c:pt>
                <c:pt idx="14">
                  <c:v>320</c:v>
                </c:pt>
                <c:pt idx="15">
                  <c:v>320</c:v>
                </c:pt>
                <c:pt idx="16">
                  <c:v>320</c:v>
                </c:pt>
                <c:pt idx="17">
                  <c:v>260</c:v>
                </c:pt>
                <c:pt idx="18">
                  <c:v>312</c:v>
                </c:pt>
                <c:pt idx="19">
                  <c:v>310</c:v>
                </c:pt>
                <c:pt idx="20">
                  <c:v>345</c:v>
                </c:pt>
                <c:pt idx="21">
                  <c:v>325</c:v>
                </c:pt>
                <c:pt idx="22">
                  <c:v>315</c:v>
                </c:pt>
                <c:pt idx="23">
                  <c:v>315</c:v>
                </c:pt>
                <c:pt idx="24">
                  <c:v>330</c:v>
                </c:pt>
                <c:pt idx="25">
                  <c:v>345</c:v>
                </c:pt>
                <c:pt idx="26">
                  <c:v>340</c:v>
                </c:pt>
                <c:pt idx="27">
                  <c:v>330</c:v>
                </c:pt>
                <c:pt idx="28">
                  <c:v>345</c:v>
                </c:pt>
                <c:pt idx="29">
                  <c:v>290</c:v>
                </c:pt>
                <c:pt idx="30">
                  <c:v>270</c:v>
                </c:pt>
                <c:pt idx="31">
                  <c:v>330</c:v>
                </c:pt>
                <c:pt idx="32">
                  <c:v>330</c:v>
                </c:pt>
                <c:pt idx="33">
                  <c:v>360</c:v>
                </c:pt>
                <c:pt idx="34">
                  <c:v>340</c:v>
                </c:pt>
                <c:pt idx="35">
                  <c:v>385</c:v>
                </c:pt>
                <c:pt idx="36">
                  <c:v>245</c:v>
                </c:pt>
                <c:pt idx="37">
                  <c:v>360</c:v>
                </c:pt>
                <c:pt idx="38">
                  <c:v>399</c:v>
                </c:pt>
                <c:pt idx="39">
                  <c:v>312</c:v>
                </c:pt>
                <c:pt idx="40">
                  <c:v>280</c:v>
                </c:pt>
                <c:pt idx="41">
                  <c:v>375</c:v>
                </c:pt>
                <c:pt idx="42">
                  <c:v>305</c:v>
                </c:pt>
                <c:pt idx="43">
                  <c:v>345</c:v>
                </c:pt>
                <c:pt idx="44">
                  <c:v>350</c:v>
                </c:pt>
                <c:pt idx="45">
                  <c:v>375</c:v>
                </c:pt>
                <c:pt idx="46">
                  <c:v>395</c:v>
                </c:pt>
                <c:pt idx="47">
                  <c:v>245</c:v>
                </c:pt>
                <c:pt idx="48">
                  <c:v>380</c:v>
                </c:pt>
                <c:pt idx="49">
                  <c:v>330</c:v>
                </c:pt>
                <c:pt idx="50">
                  <c:v>360</c:v>
                </c:pt>
                <c:pt idx="51">
                  <c:v>375</c:v>
                </c:pt>
                <c:pt idx="52">
                  <c:v>380</c:v>
                </c:pt>
                <c:pt idx="53">
                  <c:v>370</c:v>
                </c:pt>
                <c:pt idx="54">
                  <c:v>440</c:v>
                </c:pt>
                <c:pt idx="55">
                  <c:v>440</c:v>
                </c:pt>
                <c:pt idx="56">
                  <c:v>440</c:v>
                </c:pt>
                <c:pt idx="57">
                  <c:v>440</c:v>
                </c:pt>
                <c:pt idx="58">
                  <c:v>461</c:v>
                </c:pt>
                <c:pt idx="59">
                  <c:v>425</c:v>
                </c:pt>
                <c:pt idx="60">
                  <c:v>450</c:v>
                </c:pt>
                <c:pt idx="61">
                  <c:v>461</c:v>
                </c:pt>
                <c:pt idx="62">
                  <c:v>461</c:v>
                </c:pt>
                <c:pt idx="63">
                  <c:v>461</c:v>
                </c:pt>
                <c:pt idx="64">
                  <c:v>440</c:v>
                </c:pt>
                <c:pt idx="65">
                  <c:v>420</c:v>
                </c:pt>
                <c:pt idx="66">
                  <c:v>461</c:v>
                </c:pt>
                <c:pt idx="67">
                  <c:v>461</c:v>
                </c:pt>
                <c:pt idx="68">
                  <c:v>400</c:v>
                </c:pt>
                <c:pt idx="69">
                  <c:v>461</c:v>
                </c:pt>
                <c:pt idx="70">
                  <c:v>316</c:v>
                </c:pt>
                <c:pt idx="71">
                  <c:v>430</c:v>
                </c:pt>
                <c:pt idx="72">
                  <c:v>153</c:v>
                </c:pt>
                <c:pt idx="73">
                  <c:v>157</c:v>
                </c:pt>
                <c:pt idx="74">
                  <c:v>160</c:v>
                </c:pt>
                <c:pt idx="75">
                  <c:v>157</c:v>
                </c:pt>
                <c:pt idx="76">
                  <c:v>151</c:v>
                </c:pt>
                <c:pt idx="77">
                  <c:v>157</c:v>
                </c:pt>
                <c:pt idx="78">
                  <c:v>163</c:v>
                </c:pt>
                <c:pt idx="79">
                  <c:v>123</c:v>
                </c:pt>
                <c:pt idx="80">
                  <c:v>160</c:v>
                </c:pt>
                <c:pt idx="81">
                  <c:v>150</c:v>
                </c:pt>
                <c:pt idx="82">
                  <c:v>148</c:v>
                </c:pt>
                <c:pt idx="83">
                  <c:v>165</c:v>
                </c:pt>
                <c:pt idx="84">
                  <c:v>167</c:v>
                </c:pt>
                <c:pt idx="85">
                  <c:v>126</c:v>
                </c:pt>
                <c:pt idx="86">
                  <c:v>155</c:v>
                </c:pt>
                <c:pt idx="87">
                  <c:v>155</c:v>
                </c:pt>
                <c:pt idx="88">
                  <c:v>160</c:v>
                </c:pt>
                <c:pt idx="89">
                  <c:v>160</c:v>
                </c:pt>
                <c:pt idx="90">
                  <c:v>148</c:v>
                </c:pt>
                <c:pt idx="91">
                  <c:v>156</c:v>
                </c:pt>
                <c:pt idx="92">
                  <c:v>135</c:v>
                </c:pt>
                <c:pt idx="93">
                  <c:v>155</c:v>
                </c:pt>
                <c:pt idx="94">
                  <c:v>165</c:v>
                </c:pt>
                <c:pt idx="95">
                  <c:v>164</c:v>
                </c:pt>
                <c:pt idx="96">
                  <c:v>0</c:v>
                </c:pt>
                <c:pt idx="97">
                  <c:v>149</c:v>
                </c:pt>
                <c:pt idx="98">
                  <c:v>170</c:v>
                </c:pt>
                <c:pt idx="99">
                  <c:v>160</c:v>
                </c:pt>
                <c:pt idx="100">
                  <c:v>150</c:v>
                </c:pt>
                <c:pt idx="101">
                  <c:v>165</c:v>
                </c:pt>
                <c:pt idx="102">
                  <c:v>165</c:v>
                </c:pt>
                <c:pt idx="103">
                  <c:v>155</c:v>
                </c:pt>
                <c:pt idx="104">
                  <c:v>0</c:v>
                </c:pt>
                <c:pt idx="105">
                  <c:v>158</c:v>
                </c:pt>
                <c:pt idx="106">
                  <c:v>158</c:v>
                </c:pt>
                <c:pt idx="107">
                  <c:v>160</c:v>
                </c:pt>
                <c:pt idx="108">
                  <c:v>157</c:v>
                </c:pt>
                <c:pt idx="109">
                  <c:v>145</c:v>
                </c:pt>
                <c:pt idx="110">
                  <c:v>152</c:v>
                </c:pt>
                <c:pt idx="111">
                  <c:v>165</c:v>
                </c:pt>
                <c:pt idx="112">
                  <c:v>160</c:v>
                </c:pt>
                <c:pt idx="113">
                  <c:v>170</c:v>
                </c:pt>
                <c:pt idx="114">
                  <c:v>150</c:v>
                </c:pt>
                <c:pt idx="115">
                  <c:v>169</c:v>
                </c:pt>
                <c:pt idx="116">
                  <c:v>169</c:v>
                </c:pt>
                <c:pt idx="117">
                  <c:v>148</c:v>
                </c:pt>
                <c:pt idx="118">
                  <c:v>0</c:v>
                </c:pt>
                <c:pt idx="119">
                  <c:v>165</c:v>
                </c:pt>
                <c:pt idx="120">
                  <c:v>150</c:v>
                </c:pt>
                <c:pt idx="121">
                  <c:v>150</c:v>
                </c:pt>
                <c:pt idx="122">
                  <c:v>180</c:v>
                </c:pt>
                <c:pt idx="123">
                  <c:v>150</c:v>
                </c:pt>
                <c:pt idx="124">
                  <c:v>160</c:v>
                </c:pt>
                <c:pt idx="125">
                  <c:v>156</c:v>
                </c:pt>
                <c:pt idx="126">
                  <c:v>142</c:v>
                </c:pt>
                <c:pt idx="127">
                  <c:v>165</c:v>
                </c:pt>
                <c:pt idx="128">
                  <c:v>135</c:v>
                </c:pt>
                <c:pt idx="129">
                  <c:v>156</c:v>
                </c:pt>
                <c:pt idx="130">
                  <c:v>157</c:v>
                </c:pt>
                <c:pt idx="131">
                  <c:v>123</c:v>
                </c:pt>
                <c:pt idx="132">
                  <c:v>167</c:v>
                </c:pt>
                <c:pt idx="133">
                  <c:v>155</c:v>
                </c:pt>
                <c:pt idx="134">
                  <c:v>149</c:v>
                </c:pt>
                <c:pt idx="135">
                  <c:v>165</c:v>
                </c:pt>
                <c:pt idx="136">
                  <c:v>165</c:v>
                </c:pt>
                <c:pt idx="137">
                  <c:v>165</c:v>
                </c:pt>
                <c:pt idx="138">
                  <c:v>135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153</c:v>
                </c:pt>
                <c:pt idx="143">
                  <c:v>157</c:v>
                </c:pt>
                <c:pt idx="144">
                  <c:v>160</c:v>
                </c:pt>
                <c:pt idx="145">
                  <c:v>151</c:v>
                </c:pt>
                <c:pt idx="146">
                  <c:v>157</c:v>
                </c:pt>
                <c:pt idx="147">
                  <c:v>163</c:v>
                </c:pt>
                <c:pt idx="148">
                  <c:v>160</c:v>
                </c:pt>
                <c:pt idx="149">
                  <c:v>150</c:v>
                </c:pt>
                <c:pt idx="150">
                  <c:v>148</c:v>
                </c:pt>
                <c:pt idx="151">
                  <c:v>165</c:v>
                </c:pt>
                <c:pt idx="152">
                  <c:v>126</c:v>
                </c:pt>
                <c:pt idx="153">
                  <c:v>155</c:v>
                </c:pt>
                <c:pt idx="154">
                  <c:v>160</c:v>
                </c:pt>
                <c:pt idx="155">
                  <c:v>160</c:v>
                </c:pt>
                <c:pt idx="156">
                  <c:v>148</c:v>
                </c:pt>
                <c:pt idx="157">
                  <c:v>156</c:v>
                </c:pt>
                <c:pt idx="158">
                  <c:v>135</c:v>
                </c:pt>
                <c:pt idx="159">
                  <c:v>155</c:v>
                </c:pt>
                <c:pt idx="160">
                  <c:v>165</c:v>
                </c:pt>
                <c:pt idx="161">
                  <c:v>164</c:v>
                </c:pt>
                <c:pt idx="162">
                  <c:v>160</c:v>
                </c:pt>
                <c:pt idx="163">
                  <c:v>150</c:v>
                </c:pt>
                <c:pt idx="164">
                  <c:v>155</c:v>
                </c:pt>
                <c:pt idx="165">
                  <c:v>158</c:v>
                </c:pt>
                <c:pt idx="166">
                  <c:v>160</c:v>
                </c:pt>
                <c:pt idx="167">
                  <c:v>157</c:v>
                </c:pt>
                <c:pt idx="168">
                  <c:v>145</c:v>
                </c:pt>
                <c:pt idx="169">
                  <c:v>152</c:v>
                </c:pt>
                <c:pt idx="170">
                  <c:v>165</c:v>
                </c:pt>
                <c:pt idx="171">
                  <c:v>160</c:v>
                </c:pt>
                <c:pt idx="172">
                  <c:v>150</c:v>
                </c:pt>
                <c:pt idx="173">
                  <c:v>169</c:v>
                </c:pt>
                <c:pt idx="174">
                  <c:v>169</c:v>
                </c:pt>
                <c:pt idx="175">
                  <c:v>148</c:v>
                </c:pt>
                <c:pt idx="176">
                  <c:v>165</c:v>
                </c:pt>
                <c:pt idx="177">
                  <c:v>150</c:v>
                </c:pt>
                <c:pt idx="178">
                  <c:v>150</c:v>
                </c:pt>
                <c:pt idx="179">
                  <c:v>180</c:v>
                </c:pt>
                <c:pt idx="180">
                  <c:v>150</c:v>
                </c:pt>
                <c:pt idx="181">
                  <c:v>160</c:v>
                </c:pt>
                <c:pt idx="182">
                  <c:v>156</c:v>
                </c:pt>
                <c:pt idx="183">
                  <c:v>142</c:v>
                </c:pt>
                <c:pt idx="184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4E-435A-B6C0-8AA3292EB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Проницаемость, мД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Master!$I$3:$I$187</c:f>
              <c:numCache>
                <c:formatCode>0.00</c:formatCode>
                <c:ptCount val="185"/>
                <c:pt idx="0">
                  <c:v>1.75</c:v>
                </c:pt>
                <c:pt idx="1">
                  <c:v>0.6</c:v>
                </c:pt>
                <c:pt idx="2">
                  <c:v>1.8</c:v>
                </c:pt>
                <c:pt idx="3">
                  <c:v>2</c:v>
                </c:pt>
                <c:pt idx="4">
                  <c:v>1.5</c:v>
                </c:pt>
                <c:pt idx="5">
                  <c:v>1.8</c:v>
                </c:pt>
                <c:pt idx="6">
                  <c:v>1.8</c:v>
                </c:pt>
                <c:pt idx="7">
                  <c:v>1.4</c:v>
                </c:pt>
                <c:pt idx="8">
                  <c:v>1.5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1.8</c:v>
                </c:pt>
                <c:pt idx="14">
                  <c:v>1.5</c:v>
                </c:pt>
                <c:pt idx="15">
                  <c:v>1.5</c:v>
                </c:pt>
                <c:pt idx="16">
                  <c:v>1.5</c:v>
                </c:pt>
                <c:pt idx="17">
                  <c:v>0.8</c:v>
                </c:pt>
                <c:pt idx="18">
                  <c:v>2</c:v>
                </c:pt>
                <c:pt idx="19">
                  <c:v>1.7</c:v>
                </c:pt>
                <c:pt idx="20">
                  <c:v>2.6</c:v>
                </c:pt>
                <c:pt idx="21">
                  <c:v>1.5</c:v>
                </c:pt>
                <c:pt idx="22">
                  <c:v>2.4</c:v>
                </c:pt>
                <c:pt idx="23">
                  <c:v>1.8</c:v>
                </c:pt>
                <c:pt idx="24">
                  <c:v>1.5</c:v>
                </c:pt>
                <c:pt idx="25">
                  <c:v>2.82</c:v>
                </c:pt>
                <c:pt idx="26">
                  <c:v>0.6</c:v>
                </c:pt>
                <c:pt idx="27">
                  <c:v>1.1000000000000001</c:v>
                </c:pt>
                <c:pt idx="28">
                  <c:v>1</c:v>
                </c:pt>
                <c:pt idx="29">
                  <c:v>3</c:v>
                </c:pt>
                <c:pt idx="30">
                  <c:v>0.89</c:v>
                </c:pt>
                <c:pt idx="31">
                  <c:v>2.4</c:v>
                </c:pt>
                <c:pt idx="32">
                  <c:v>1.4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1.6</c:v>
                </c:pt>
                <c:pt idx="38">
                  <c:v>2</c:v>
                </c:pt>
                <c:pt idx="39">
                  <c:v>1.4</c:v>
                </c:pt>
                <c:pt idx="40">
                  <c:v>1.3</c:v>
                </c:pt>
                <c:pt idx="41">
                  <c:v>0.2</c:v>
                </c:pt>
                <c:pt idx="42">
                  <c:v>2.75</c:v>
                </c:pt>
                <c:pt idx="43">
                  <c:v>2.5</c:v>
                </c:pt>
                <c:pt idx="44">
                  <c:v>2</c:v>
                </c:pt>
                <c:pt idx="45">
                  <c:v>1.5</c:v>
                </c:pt>
                <c:pt idx="46">
                  <c:v>0.7</c:v>
                </c:pt>
                <c:pt idx="47">
                  <c:v>0.8</c:v>
                </c:pt>
                <c:pt idx="48">
                  <c:v>0.7</c:v>
                </c:pt>
                <c:pt idx="49">
                  <c:v>0.6</c:v>
                </c:pt>
                <c:pt idx="50">
                  <c:v>1.4</c:v>
                </c:pt>
                <c:pt idx="51">
                  <c:v>2.5</c:v>
                </c:pt>
                <c:pt idx="52">
                  <c:v>2</c:v>
                </c:pt>
                <c:pt idx="53">
                  <c:v>1.7</c:v>
                </c:pt>
                <c:pt idx="54">
                  <c:v>0.6</c:v>
                </c:pt>
                <c:pt idx="55">
                  <c:v>1.1000000000000001</c:v>
                </c:pt>
                <c:pt idx="56">
                  <c:v>0.6</c:v>
                </c:pt>
                <c:pt idx="57">
                  <c:v>1.2</c:v>
                </c:pt>
                <c:pt idx="58">
                  <c:v>0.34</c:v>
                </c:pt>
                <c:pt idx="59">
                  <c:v>0.34</c:v>
                </c:pt>
                <c:pt idx="60">
                  <c:v>1.2</c:v>
                </c:pt>
                <c:pt idx="61">
                  <c:v>0.34</c:v>
                </c:pt>
                <c:pt idx="62">
                  <c:v>0.34</c:v>
                </c:pt>
                <c:pt idx="63">
                  <c:v>0.34</c:v>
                </c:pt>
                <c:pt idx="64">
                  <c:v>1.1100000000000001</c:v>
                </c:pt>
                <c:pt idx="65">
                  <c:v>1</c:v>
                </c:pt>
                <c:pt idx="66">
                  <c:v>0.34</c:v>
                </c:pt>
                <c:pt idx="67">
                  <c:v>0.34</c:v>
                </c:pt>
                <c:pt idx="68">
                  <c:v>0.6</c:v>
                </c:pt>
                <c:pt idx="69">
                  <c:v>0.34</c:v>
                </c:pt>
                <c:pt idx="70">
                  <c:v>0.34</c:v>
                </c:pt>
                <c:pt idx="71">
                  <c:v>0.34</c:v>
                </c:pt>
                <c:pt idx="72">
                  <c:v>3.2</c:v>
                </c:pt>
                <c:pt idx="73">
                  <c:v>4</c:v>
                </c:pt>
                <c:pt idx="74">
                  <c:v>1.1000000000000001</c:v>
                </c:pt>
                <c:pt idx="75">
                  <c:v>4.5</c:v>
                </c:pt>
                <c:pt idx="76">
                  <c:v>3</c:v>
                </c:pt>
                <c:pt idx="77">
                  <c:v>2.1</c:v>
                </c:pt>
                <c:pt idx="78">
                  <c:v>3.5</c:v>
                </c:pt>
                <c:pt idx="79">
                  <c:v>5</c:v>
                </c:pt>
                <c:pt idx="80">
                  <c:v>6.1</c:v>
                </c:pt>
                <c:pt idx="81">
                  <c:v>10</c:v>
                </c:pt>
                <c:pt idx="82">
                  <c:v>5</c:v>
                </c:pt>
                <c:pt idx="83">
                  <c:v>5</c:v>
                </c:pt>
                <c:pt idx="84">
                  <c:v>1.3</c:v>
                </c:pt>
                <c:pt idx="85">
                  <c:v>4</c:v>
                </c:pt>
                <c:pt idx="86">
                  <c:v>3.5</c:v>
                </c:pt>
                <c:pt idx="87">
                  <c:v>2.2999999999999998</c:v>
                </c:pt>
                <c:pt idx="88">
                  <c:v>4</c:v>
                </c:pt>
                <c:pt idx="89">
                  <c:v>4</c:v>
                </c:pt>
                <c:pt idx="90">
                  <c:v>2.4</c:v>
                </c:pt>
                <c:pt idx="91">
                  <c:v>4</c:v>
                </c:pt>
                <c:pt idx="92">
                  <c:v>4.7</c:v>
                </c:pt>
                <c:pt idx="93">
                  <c:v>4.5</c:v>
                </c:pt>
                <c:pt idx="94">
                  <c:v>2</c:v>
                </c:pt>
                <c:pt idx="95">
                  <c:v>2.5</c:v>
                </c:pt>
                <c:pt idx="96">
                  <c:v>5</c:v>
                </c:pt>
                <c:pt idx="97">
                  <c:v>6.3</c:v>
                </c:pt>
                <c:pt idx="98">
                  <c:v>4.5999999999999996</c:v>
                </c:pt>
                <c:pt idx="99">
                  <c:v>4</c:v>
                </c:pt>
                <c:pt idx="100">
                  <c:v>7</c:v>
                </c:pt>
                <c:pt idx="101">
                  <c:v>3.4</c:v>
                </c:pt>
                <c:pt idx="102">
                  <c:v>2.7</c:v>
                </c:pt>
                <c:pt idx="103">
                  <c:v>2.8</c:v>
                </c:pt>
                <c:pt idx="104">
                  <c:v>4.7</c:v>
                </c:pt>
                <c:pt idx="105">
                  <c:v>3.5</c:v>
                </c:pt>
                <c:pt idx="106">
                  <c:v>2.7</c:v>
                </c:pt>
                <c:pt idx="107">
                  <c:v>4.7</c:v>
                </c:pt>
                <c:pt idx="108">
                  <c:v>2</c:v>
                </c:pt>
                <c:pt idx="109">
                  <c:v>2</c:v>
                </c:pt>
                <c:pt idx="110">
                  <c:v>3.5</c:v>
                </c:pt>
                <c:pt idx="111">
                  <c:v>3.5</c:v>
                </c:pt>
                <c:pt idx="112">
                  <c:v>4.4000000000000004</c:v>
                </c:pt>
                <c:pt idx="113">
                  <c:v>1.3</c:v>
                </c:pt>
                <c:pt idx="114">
                  <c:v>3</c:v>
                </c:pt>
                <c:pt idx="115">
                  <c:v>0.9</c:v>
                </c:pt>
                <c:pt idx="116">
                  <c:v>1.3</c:v>
                </c:pt>
                <c:pt idx="117">
                  <c:v>13.1</c:v>
                </c:pt>
                <c:pt idx="118">
                  <c:v>1.3</c:v>
                </c:pt>
                <c:pt idx="119">
                  <c:v>2.8</c:v>
                </c:pt>
                <c:pt idx="120">
                  <c:v>1.3</c:v>
                </c:pt>
                <c:pt idx="121">
                  <c:v>1.5</c:v>
                </c:pt>
                <c:pt idx="122">
                  <c:v>2.5</c:v>
                </c:pt>
                <c:pt idx="123">
                  <c:v>2.5</c:v>
                </c:pt>
                <c:pt idx="124">
                  <c:v>1.3</c:v>
                </c:pt>
                <c:pt idx="125">
                  <c:v>4.5999999999999996</c:v>
                </c:pt>
                <c:pt idx="126">
                  <c:v>2.8</c:v>
                </c:pt>
                <c:pt idx="127">
                  <c:v>1.4</c:v>
                </c:pt>
                <c:pt idx="128">
                  <c:v>1.5</c:v>
                </c:pt>
                <c:pt idx="129">
                  <c:v>4.7</c:v>
                </c:pt>
                <c:pt idx="130">
                  <c:v>4.5</c:v>
                </c:pt>
                <c:pt idx="131">
                  <c:v>5</c:v>
                </c:pt>
                <c:pt idx="132">
                  <c:v>1.3</c:v>
                </c:pt>
                <c:pt idx="133">
                  <c:v>2.2999999999999998</c:v>
                </c:pt>
                <c:pt idx="134">
                  <c:v>6.3</c:v>
                </c:pt>
                <c:pt idx="135">
                  <c:v>3.4</c:v>
                </c:pt>
                <c:pt idx="136">
                  <c:v>2.7</c:v>
                </c:pt>
                <c:pt idx="137">
                  <c:v>1.4</c:v>
                </c:pt>
                <c:pt idx="138">
                  <c:v>1.5</c:v>
                </c:pt>
                <c:pt idx="139">
                  <c:v>5</c:v>
                </c:pt>
                <c:pt idx="140">
                  <c:v>4.7</c:v>
                </c:pt>
                <c:pt idx="141">
                  <c:v>1.3</c:v>
                </c:pt>
                <c:pt idx="142">
                  <c:v>3.2</c:v>
                </c:pt>
                <c:pt idx="143">
                  <c:v>4</c:v>
                </c:pt>
                <c:pt idx="144">
                  <c:v>1.1000000000000001</c:v>
                </c:pt>
                <c:pt idx="145">
                  <c:v>3</c:v>
                </c:pt>
                <c:pt idx="146">
                  <c:v>2.1</c:v>
                </c:pt>
                <c:pt idx="147">
                  <c:v>3.5</c:v>
                </c:pt>
                <c:pt idx="148">
                  <c:v>6.1</c:v>
                </c:pt>
                <c:pt idx="149">
                  <c:v>10</c:v>
                </c:pt>
                <c:pt idx="150">
                  <c:v>5</c:v>
                </c:pt>
                <c:pt idx="151">
                  <c:v>5</c:v>
                </c:pt>
                <c:pt idx="152">
                  <c:v>4</c:v>
                </c:pt>
                <c:pt idx="153">
                  <c:v>3.5</c:v>
                </c:pt>
                <c:pt idx="154">
                  <c:v>4</c:v>
                </c:pt>
                <c:pt idx="155">
                  <c:v>4</c:v>
                </c:pt>
                <c:pt idx="156">
                  <c:v>2.4</c:v>
                </c:pt>
                <c:pt idx="157">
                  <c:v>4</c:v>
                </c:pt>
                <c:pt idx="158">
                  <c:v>4.7</c:v>
                </c:pt>
                <c:pt idx="159">
                  <c:v>4.5</c:v>
                </c:pt>
                <c:pt idx="160">
                  <c:v>2</c:v>
                </c:pt>
                <c:pt idx="161">
                  <c:v>2.5</c:v>
                </c:pt>
                <c:pt idx="162">
                  <c:v>4</c:v>
                </c:pt>
                <c:pt idx="163">
                  <c:v>7</c:v>
                </c:pt>
                <c:pt idx="164">
                  <c:v>2.8</c:v>
                </c:pt>
                <c:pt idx="165">
                  <c:v>2.7</c:v>
                </c:pt>
                <c:pt idx="166">
                  <c:v>4.7</c:v>
                </c:pt>
                <c:pt idx="167">
                  <c:v>2</c:v>
                </c:pt>
                <c:pt idx="168">
                  <c:v>2</c:v>
                </c:pt>
                <c:pt idx="169">
                  <c:v>3.5</c:v>
                </c:pt>
                <c:pt idx="170">
                  <c:v>3.5</c:v>
                </c:pt>
                <c:pt idx="171">
                  <c:v>4.4000000000000004</c:v>
                </c:pt>
                <c:pt idx="172">
                  <c:v>3</c:v>
                </c:pt>
                <c:pt idx="173">
                  <c:v>0.9</c:v>
                </c:pt>
                <c:pt idx="174">
                  <c:v>1.3</c:v>
                </c:pt>
                <c:pt idx="175">
                  <c:v>13.1</c:v>
                </c:pt>
                <c:pt idx="176">
                  <c:v>2.8</c:v>
                </c:pt>
                <c:pt idx="177">
                  <c:v>1.3</c:v>
                </c:pt>
                <c:pt idx="178">
                  <c:v>1.5</c:v>
                </c:pt>
                <c:pt idx="179">
                  <c:v>2.5</c:v>
                </c:pt>
                <c:pt idx="180">
                  <c:v>2.5</c:v>
                </c:pt>
                <c:pt idx="181">
                  <c:v>1.3</c:v>
                </c:pt>
                <c:pt idx="182">
                  <c:v>4.5999999999999996</c:v>
                </c:pt>
                <c:pt idx="183">
                  <c:v>2.8</c:v>
                </c:pt>
                <c:pt idx="184">
                  <c:v>4.7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C9-47A4-8F7B-C28FE1D2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Вязкость нефти, сП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Master!$K$3:$K$187</c:f>
              <c:numCache>
                <c:formatCode>0.00</c:formatCode>
                <c:ptCount val="185"/>
                <c:pt idx="0">
                  <c:v>0.83899999999999997</c:v>
                </c:pt>
                <c:pt idx="1">
                  <c:v>0.73</c:v>
                </c:pt>
                <c:pt idx="2">
                  <c:v>0.73</c:v>
                </c:pt>
                <c:pt idx="3">
                  <c:v>0.7</c:v>
                </c:pt>
                <c:pt idx="4">
                  <c:v>0.73</c:v>
                </c:pt>
                <c:pt idx="5">
                  <c:v>0.73</c:v>
                </c:pt>
                <c:pt idx="6">
                  <c:v>0.73</c:v>
                </c:pt>
                <c:pt idx="7">
                  <c:v>0.73</c:v>
                </c:pt>
                <c:pt idx="8">
                  <c:v>0.73</c:v>
                </c:pt>
                <c:pt idx="9">
                  <c:v>0.73</c:v>
                </c:pt>
                <c:pt idx="10">
                  <c:v>0.62</c:v>
                </c:pt>
                <c:pt idx="11">
                  <c:v>0.73</c:v>
                </c:pt>
                <c:pt idx="12">
                  <c:v>0.73</c:v>
                </c:pt>
                <c:pt idx="13">
                  <c:v>0.73</c:v>
                </c:pt>
                <c:pt idx="14">
                  <c:v>0.73</c:v>
                </c:pt>
                <c:pt idx="15">
                  <c:v>0.78</c:v>
                </c:pt>
                <c:pt idx="16">
                  <c:v>0.83899999999999997</c:v>
                </c:pt>
                <c:pt idx="17">
                  <c:v>0.73</c:v>
                </c:pt>
                <c:pt idx="18">
                  <c:v>0.73</c:v>
                </c:pt>
                <c:pt idx="19">
                  <c:v>0.73</c:v>
                </c:pt>
                <c:pt idx="20">
                  <c:v>0.7</c:v>
                </c:pt>
                <c:pt idx="21">
                  <c:v>0.73</c:v>
                </c:pt>
                <c:pt idx="22">
                  <c:v>0.75</c:v>
                </c:pt>
                <c:pt idx="23">
                  <c:v>0.73</c:v>
                </c:pt>
                <c:pt idx="24">
                  <c:v>0.73</c:v>
                </c:pt>
                <c:pt idx="25">
                  <c:v>0.73</c:v>
                </c:pt>
                <c:pt idx="26">
                  <c:v>0.73</c:v>
                </c:pt>
                <c:pt idx="27">
                  <c:v>0.73</c:v>
                </c:pt>
                <c:pt idx="28">
                  <c:v>0.73</c:v>
                </c:pt>
                <c:pt idx="29">
                  <c:v>0.84</c:v>
                </c:pt>
                <c:pt idx="30">
                  <c:v>0.84</c:v>
                </c:pt>
                <c:pt idx="31">
                  <c:v>0.75</c:v>
                </c:pt>
                <c:pt idx="32">
                  <c:v>0.73</c:v>
                </c:pt>
                <c:pt idx="33">
                  <c:v>0.73</c:v>
                </c:pt>
                <c:pt idx="34">
                  <c:v>0.83899999999999997</c:v>
                </c:pt>
                <c:pt idx="35">
                  <c:v>0.83899999999999997</c:v>
                </c:pt>
                <c:pt idx="36">
                  <c:v>0.73</c:v>
                </c:pt>
                <c:pt idx="37">
                  <c:v>0.73</c:v>
                </c:pt>
                <c:pt idx="38">
                  <c:v>0.7</c:v>
                </c:pt>
                <c:pt idx="39">
                  <c:v>0.83899999999999997</c:v>
                </c:pt>
                <c:pt idx="40">
                  <c:v>0.73</c:v>
                </c:pt>
                <c:pt idx="41">
                  <c:v>0.83899999999999997</c:v>
                </c:pt>
                <c:pt idx="42">
                  <c:v>0.7</c:v>
                </c:pt>
                <c:pt idx="43">
                  <c:v>0.85</c:v>
                </c:pt>
                <c:pt idx="44">
                  <c:v>0.83899999999999997</c:v>
                </c:pt>
                <c:pt idx="45">
                  <c:v>0.83899999999999997</c:v>
                </c:pt>
                <c:pt idx="46">
                  <c:v>0.65600000000000003</c:v>
                </c:pt>
                <c:pt idx="47">
                  <c:v>0.73</c:v>
                </c:pt>
                <c:pt idx="48">
                  <c:v>0.65600000000000003</c:v>
                </c:pt>
                <c:pt idx="49">
                  <c:v>0.69299999999999995</c:v>
                </c:pt>
                <c:pt idx="50">
                  <c:v>0.73</c:v>
                </c:pt>
                <c:pt idx="51">
                  <c:v>0.73</c:v>
                </c:pt>
                <c:pt idx="52">
                  <c:v>0.83899999999999997</c:v>
                </c:pt>
                <c:pt idx="53">
                  <c:v>0.73</c:v>
                </c:pt>
                <c:pt idx="54">
                  <c:v>0.28999999999999998</c:v>
                </c:pt>
                <c:pt idx="55">
                  <c:v>0.84</c:v>
                </c:pt>
                <c:pt idx="56">
                  <c:v>0.28999999999999998</c:v>
                </c:pt>
                <c:pt idx="57">
                  <c:v>0.82199999999999995</c:v>
                </c:pt>
                <c:pt idx="58">
                  <c:v>0.82199999999999995</c:v>
                </c:pt>
                <c:pt idx="59">
                  <c:v>0.82199999999999995</c:v>
                </c:pt>
                <c:pt idx="60">
                  <c:v>0.82199999999999995</c:v>
                </c:pt>
                <c:pt idx="61">
                  <c:v>0.82199999999999995</c:v>
                </c:pt>
                <c:pt idx="62">
                  <c:v>0.26</c:v>
                </c:pt>
                <c:pt idx="63">
                  <c:v>0.26</c:v>
                </c:pt>
                <c:pt idx="64">
                  <c:v>0.82199999999999995</c:v>
                </c:pt>
                <c:pt idx="65">
                  <c:v>0.82199999999999995</c:v>
                </c:pt>
                <c:pt idx="66">
                  <c:v>0.82199999999999995</c:v>
                </c:pt>
                <c:pt idx="67">
                  <c:v>0.82199999999999995</c:v>
                </c:pt>
                <c:pt idx="68">
                  <c:v>0.81399999999999995</c:v>
                </c:pt>
                <c:pt idx="69">
                  <c:v>0.26</c:v>
                </c:pt>
                <c:pt idx="70">
                  <c:v>0.82199999999999995</c:v>
                </c:pt>
                <c:pt idx="71">
                  <c:v>0.82199999999999995</c:v>
                </c:pt>
                <c:pt idx="72">
                  <c:v>2.94</c:v>
                </c:pt>
                <c:pt idx="73">
                  <c:v>2.94</c:v>
                </c:pt>
                <c:pt idx="74">
                  <c:v>2.94</c:v>
                </c:pt>
                <c:pt idx="75">
                  <c:v>2.94</c:v>
                </c:pt>
                <c:pt idx="76">
                  <c:v>2.94</c:v>
                </c:pt>
                <c:pt idx="77">
                  <c:v>2.94</c:v>
                </c:pt>
                <c:pt idx="78">
                  <c:v>2.94</c:v>
                </c:pt>
                <c:pt idx="79">
                  <c:v>2.94</c:v>
                </c:pt>
                <c:pt idx="80">
                  <c:v>2.94</c:v>
                </c:pt>
                <c:pt idx="81">
                  <c:v>2.94</c:v>
                </c:pt>
                <c:pt idx="82">
                  <c:v>2.94</c:v>
                </c:pt>
                <c:pt idx="83">
                  <c:v>2.94</c:v>
                </c:pt>
                <c:pt idx="84">
                  <c:v>2.94</c:v>
                </c:pt>
                <c:pt idx="85">
                  <c:v>2.94</c:v>
                </c:pt>
                <c:pt idx="86">
                  <c:v>2.94</c:v>
                </c:pt>
                <c:pt idx="87">
                  <c:v>2.94</c:v>
                </c:pt>
                <c:pt idx="88">
                  <c:v>2.94</c:v>
                </c:pt>
                <c:pt idx="89">
                  <c:v>2.94</c:v>
                </c:pt>
                <c:pt idx="90">
                  <c:v>2.94</c:v>
                </c:pt>
                <c:pt idx="91">
                  <c:v>2.94</c:v>
                </c:pt>
                <c:pt idx="92">
                  <c:v>2.94</c:v>
                </c:pt>
                <c:pt idx="93">
                  <c:v>2.94</c:v>
                </c:pt>
                <c:pt idx="94">
                  <c:v>2.94</c:v>
                </c:pt>
                <c:pt idx="95">
                  <c:v>2.94</c:v>
                </c:pt>
                <c:pt idx="96">
                  <c:v>2.94</c:v>
                </c:pt>
                <c:pt idx="97">
                  <c:v>2.94</c:v>
                </c:pt>
                <c:pt idx="98">
                  <c:v>2.94</c:v>
                </c:pt>
                <c:pt idx="99">
                  <c:v>2.94</c:v>
                </c:pt>
                <c:pt idx="100">
                  <c:v>2.94</c:v>
                </c:pt>
                <c:pt idx="101">
                  <c:v>2.94</c:v>
                </c:pt>
                <c:pt idx="102">
                  <c:v>2.94</c:v>
                </c:pt>
                <c:pt idx="103">
                  <c:v>2.94</c:v>
                </c:pt>
                <c:pt idx="104">
                  <c:v>2.94</c:v>
                </c:pt>
                <c:pt idx="105">
                  <c:v>2.94</c:v>
                </c:pt>
                <c:pt idx="106">
                  <c:v>2.94</c:v>
                </c:pt>
                <c:pt idx="107">
                  <c:v>2.94</c:v>
                </c:pt>
                <c:pt idx="108">
                  <c:v>2.94</c:v>
                </c:pt>
                <c:pt idx="109">
                  <c:v>2.94</c:v>
                </c:pt>
                <c:pt idx="110">
                  <c:v>2.94</c:v>
                </c:pt>
                <c:pt idx="111">
                  <c:v>2.94</c:v>
                </c:pt>
                <c:pt idx="112">
                  <c:v>2.94</c:v>
                </c:pt>
                <c:pt idx="113">
                  <c:v>2.94</c:v>
                </c:pt>
                <c:pt idx="114">
                  <c:v>2.94</c:v>
                </c:pt>
                <c:pt idx="115">
                  <c:v>2.94</c:v>
                </c:pt>
                <c:pt idx="116">
                  <c:v>2.94</c:v>
                </c:pt>
                <c:pt idx="117">
                  <c:v>2.94</c:v>
                </c:pt>
                <c:pt idx="118">
                  <c:v>2.94</c:v>
                </c:pt>
                <c:pt idx="119">
                  <c:v>2.94</c:v>
                </c:pt>
                <c:pt idx="120">
                  <c:v>2.94</c:v>
                </c:pt>
                <c:pt idx="121">
                  <c:v>2.94</c:v>
                </c:pt>
                <c:pt idx="122">
                  <c:v>2.94</c:v>
                </c:pt>
                <c:pt idx="123">
                  <c:v>2.94</c:v>
                </c:pt>
                <c:pt idx="124">
                  <c:v>2.94</c:v>
                </c:pt>
                <c:pt idx="125">
                  <c:v>2.94</c:v>
                </c:pt>
                <c:pt idx="126">
                  <c:v>2.94</c:v>
                </c:pt>
                <c:pt idx="127">
                  <c:v>2.94</c:v>
                </c:pt>
                <c:pt idx="128">
                  <c:v>2.94</c:v>
                </c:pt>
                <c:pt idx="129">
                  <c:v>2.94</c:v>
                </c:pt>
                <c:pt idx="130">
                  <c:v>2.94</c:v>
                </c:pt>
                <c:pt idx="131">
                  <c:v>2.94</c:v>
                </c:pt>
                <c:pt idx="132">
                  <c:v>2.94</c:v>
                </c:pt>
                <c:pt idx="133">
                  <c:v>2.94</c:v>
                </c:pt>
                <c:pt idx="134">
                  <c:v>2.94</c:v>
                </c:pt>
                <c:pt idx="135">
                  <c:v>2.94</c:v>
                </c:pt>
                <c:pt idx="136">
                  <c:v>2.94</c:v>
                </c:pt>
                <c:pt idx="137">
                  <c:v>2.94</c:v>
                </c:pt>
                <c:pt idx="138">
                  <c:v>2.94</c:v>
                </c:pt>
                <c:pt idx="139">
                  <c:v>2.94</c:v>
                </c:pt>
                <c:pt idx="140">
                  <c:v>2.94</c:v>
                </c:pt>
                <c:pt idx="141">
                  <c:v>2.94</c:v>
                </c:pt>
                <c:pt idx="142">
                  <c:v>2.94</c:v>
                </c:pt>
                <c:pt idx="143">
                  <c:v>2.94</c:v>
                </c:pt>
                <c:pt idx="144">
                  <c:v>2.94</c:v>
                </c:pt>
                <c:pt idx="145">
                  <c:v>2.94</c:v>
                </c:pt>
                <c:pt idx="146">
                  <c:v>2.94</c:v>
                </c:pt>
                <c:pt idx="147">
                  <c:v>2.94</c:v>
                </c:pt>
                <c:pt idx="148">
                  <c:v>2.94</c:v>
                </c:pt>
                <c:pt idx="149">
                  <c:v>2.94</c:v>
                </c:pt>
                <c:pt idx="150">
                  <c:v>2.94</c:v>
                </c:pt>
                <c:pt idx="151">
                  <c:v>2.94</c:v>
                </c:pt>
                <c:pt idx="152">
                  <c:v>2.94</c:v>
                </c:pt>
                <c:pt idx="153">
                  <c:v>2.94</c:v>
                </c:pt>
                <c:pt idx="154">
                  <c:v>2.94</c:v>
                </c:pt>
                <c:pt idx="155">
                  <c:v>2.94</c:v>
                </c:pt>
                <c:pt idx="156">
                  <c:v>2.94</c:v>
                </c:pt>
                <c:pt idx="157">
                  <c:v>2.94</c:v>
                </c:pt>
                <c:pt idx="158">
                  <c:v>2.94</c:v>
                </c:pt>
                <c:pt idx="159">
                  <c:v>2.94</c:v>
                </c:pt>
                <c:pt idx="160">
                  <c:v>2.94</c:v>
                </c:pt>
                <c:pt idx="161">
                  <c:v>2.94</c:v>
                </c:pt>
                <c:pt idx="162">
                  <c:v>2.94</c:v>
                </c:pt>
                <c:pt idx="163">
                  <c:v>2.94</c:v>
                </c:pt>
                <c:pt idx="164">
                  <c:v>2.94</c:v>
                </c:pt>
                <c:pt idx="165">
                  <c:v>2.94</c:v>
                </c:pt>
                <c:pt idx="166">
                  <c:v>2.94</c:v>
                </c:pt>
                <c:pt idx="167">
                  <c:v>2.94</c:v>
                </c:pt>
                <c:pt idx="168">
                  <c:v>2.94</c:v>
                </c:pt>
                <c:pt idx="169">
                  <c:v>2.94</c:v>
                </c:pt>
                <c:pt idx="170">
                  <c:v>2.94</c:v>
                </c:pt>
                <c:pt idx="171">
                  <c:v>2.94</c:v>
                </c:pt>
                <c:pt idx="172">
                  <c:v>2.94</c:v>
                </c:pt>
                <c:pt idx="173">
                  <c:v>2.94</c:v>
                </c:pt>
                <c:pt idx="174">
                  <c:v>2.94</c:v>
                </c:pt>
                <c:pt idx="175">
                  <c:v>2.94</c:v>
                </c:pt>
                <c:pt idx="176">
                  <c:v>2.94</c:v>
                </c:pt>
                <c:pt idx="177">
                  <c:v>2.94</c:v>
                </c:pt>
                <c:pt idx="178">
                  <c:v>2.94</c:v>
                </c:pt>
                <c:pt idx="179">
                  <c:v>2.94</c:v>
                </c:pt>
                <c:pt idx="180">
                  <c:v>2.94</c:v>
                </c:pt>
                <c:pt idx="181">
                  <c:v>2.94</c:v>
                </c:pt>
                <c:pt idx="182">
                  <c:v>2.94</c:v>
                </c:pt>
                <c:pt idx="183">
                  <c:v>2.94</c:v>
                </c:pt>
                <c:pt idx="184">
                  <c:v>2.94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6F-41A4-B9F0-3BD275428D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Азимут распространения трещины, градусы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Master!$M$3:$M$187</c:f>
              <c:numCache>
                <c:formatCode>0.00</c:formatCode>
                <c:ptCount val="185"/>
                <c:pt idx="0">
                  <c:v>134.59</c:v>
                </c:pt>
                <c:pt idx="1">
                  <c:v>229.38</c:v>
                </c:pt>
                <c:pt idx="2">
                  <c:v>329.33</c:v>
                </c:pt>
                <c:pt idx="3">
                  <c:v>307.7</c:v>
                </c:pt>
                <c:pt idx="4">
                  <c:v>154.51</c:v>
                </c:pt>
                <c:pt idx="5">
                  <c:v>56.85</c:v>
                </c:pt>
                <c:pt idx="6">
                  <c:v>312.54000000000002</c:v>
                </c:pt>
                <c:pt idx="7">
                  <c:v>64.94</c:v>
                </c:pt>
                <c:pt idx="8">
                  <c:v>170</c:v>
                </c:pt>
                <c:pt idx="9">
                  <c:v>343.8</c:v>
                </c:pt>
                <c:pt idx="10">
                  <c:v>344.29</c:v>
                </c:pt>
                <c:pt idx="11">
                  <c:v>135.72</c:v>
                </c:pt>
                <c:pt idx="12">
                  <c:v>257.2</c:v>
                </c:pt>
                <c:pt idx="13">
                  <c:v>242.6</c:v>
                </c:pt>
                <c:pt idx="14">
                  <c:v>142.56</c:v>
                </c:pt>
                <c:pt idx="15">
                  <c:v>132.21</c:v>
                </c:pt>
                <c:pt idx="16">
                  <c:v>342.43</c:v>
                </c:pt>
                <c:pt idx="17">
                  <c:v>189.94</c:v>
                </c:pt>
                <c:pt idx="18">
                  <c:v>142.5</c:v>
                </c:pt>
                <c:pt idx="19">
                  <c:v>337.9</c:v>
                </c:pt>
                <c:pt idx="20">
                  <c:v>228.26</c:v>
                </c:pt>
                <c:pt idx="21">
                  <c:v>136.16999999999999</c:v>
                </c:pt>
                <c:pt idx="22">
                  <c:v>337.74</c:v>
                </c:pt>
                <c:pt idx="23">
                  <c:v>343.56</c:v>
                </c:pt>
                <c:pt idx="24">
                  <c:v>343.45</c:v>
                </c:pt>
                <c:pt idx="25">
                  <c:v>135.80000000000001</c:v>
                </c:pt>
                <c:pt idx="26">
                  <c:v>330.29</c:v>
                </c:pt>
                <c:pt idx="27">
                  <c:v>305.81</c:v>
                </c:pt>
                <c:pt idx="28">
                  <c:v>310.60000000000002</c:v>
                </c:pt>
                <c:pt idx="29">
                  <c:v>336.37</c:v>
                </c:pt>
                <c:pt idx="30">
                  <c:v>340</c:v>
                </c:pt>
                <c:pt idx="31">
                  <c:v>164.74</c:v>
                </c:pt>
                <c:pt idx="32">
                  <c:v>155.52000000000001</c:v>
                </c:pt>
                <c:pt idx="33">
                  <c:v>131.77000000000001</c:v>
                </c:pt>
                <c:pt idx="34">
                  <c:v>241.12899999999999</c:v>
                </c:pt>
                <c:pt idx="35">
                  <c:v>324.85899999999998</c:v>
                </c:pt>
                <c:pt idx="36">
                  <c:v>245.27</c:v>
                </c:pt>
                <c:pt idx="37">
                  <c:v>161</c:v>
                </c:pt>
                <c:pt idx="38">
                  <c:v>151.11000000000001</c:v>
                </c:pt>
                <c:pt idx="39">
                  <c:v>279.73</c:v>
                </c:pt>
                <c:pt idx="40">
                  <c:v>291.13</c:v>
                </c:pt>
                <c:pt idx="41">
                  <c:v>123</c:v>
                </c:pt>
                <c:pt idx="42">
                  <c:v>351.51</c:v>
                </c:pt>
                <c:pt idx="43">
                  <c:v>337.14</c:v>
                </c:pt>
                <c:pt idx="44">
                  <c:v>128.16999999999999</c:v>
                </c:pt>
                <c:pt idx="45">
                  <c:v>336.23</c:v>
                </c:pt>
                <c:pt idx="46">
                  <c:v>210.85</c:v>
                </c:pt>
                <c:pt idx="47">
                  <c:v>320.60000000000002</c:v>
                </c:pt>
                <c:pt idx="48">
                  <c:v>310</c:v>
                </c:pt>
                <c:pt idx="49">
                  <c:v>135</c:v>
                </c:pt>
                <c:pt idx="50">
                  <c:v>113</c:v>
                </c:pt>
                <c:pt idx="51">
                  <c:v>159.13999999999999</c:v>
                </c:pt>
                <c:pt idx="52">
                  <c:v>154.22999999999999</c:v>
                </c:pt>
                <c:pt idx="53">
                  <c:v>322.02999999999997</c:v>
                </c:pt>
                <c:pt idx="54">
                  <c:v>19</c:v>
                </c:pt>
                <c:pt idx="55">
                  <c:v>203</c:v>
                </c:pt>
                <c:pt idx="56">
                  <c:v>18</c:v>
                </c:pt>
                <c:pt idx="57">
                  <c:v>222</c:v>
                </c:pt>
                <c:pt idx="58">
                  <c:v>49.11</c:v>
                </c:pt>
                <c:pt idx="59">
                  <c:v>39.200000000000003</c:v>
                </c:pt>
                <c:pt idx="60">
                  <c:v>39.4</c:v>
                </c:pt>
                <c:pt idx="61">
                  <c:v>32.22</c:v>
                </c:pt>
                <c:pt idx="62">
                  <c:v>215.15</c:v>
                </c:pt>
                <c:pt idx="63">
                  <c:v>42.35</c:v>
                </c:pt>
                <c:pt idx="64">
                  <c:v>219</c:v>
                </c:pt>
                <c:pt idx="65">
                  <c:v>218.8</c:v>
                </c:pt>
                <c:pt idx="66">
                  <c:v>49.11</c:v>
                </c:pt>
                <c:pt idx="67">
                  <c:v>49.11</c:v>
                </c:pt>
                <c:pt idx="68">
                  <c:v>48.4</c:v>
                </c:pt>
                <c:pt idx="69">
                  <c:v>49.11</c:v>
                </c:pt>
                <c:pt idx="70">
                  <c:v>217.96</c:v>
                </c:pt>
                <c:pt idx="71">
                  <c:v>49.11</c:v>
                </c:pt>
                <c:pt idx="72">
                  <c:v>352</c:v>
                </c:pt>
                <c:pt idx="73">
                  <c:v>155</c:v>
                </c:pt>
                <c:pt idx="74">
                  <c:v>137</c:v>
                </c:pt>
                <c:pt idx="75">
                  <c:v>293</c:v>
                </c:pt>
                <c:pt idx="76">
                  <c:v>78</c:v>
                </c:pt>
                <c:pt idx="77">
                  <c:v>299</c:v>
                </c:pt>
                <c:pt idx="78">
                  <c:v>269</c:v>
                </c:pt>
                <c:pt idx="79">
                  <c:v>155</c:v>
                </c:pt>
                <c:pt idx="80">
                  <c:v>53</c:v>
                </c:pt>
                <c:pt idx="81">
                  <c:v>238</c:v>
                </c:pt>
                <c:pt idx="82">
                  <c:v>269</c:v>
                </c:pt>
                <c:pt idx="83">
                  <c:v>352</c:v>
                </c:pt>
                <c:pt idx="84">
                  <c:v>214</c:v>
                </c:pt>
                <c:pt idx="85">
                  <c:v>220</c:v>
                </c:pt>
                <c:pt idx="86">
                  <c:v>137</c:v>
                </c:pt>
                <c:pt idx="87">
                  <c:v>299</c:v>
                </c:pt>
                <c:pt idx="88">
                  <c:v>220</c:v>
                </c:pt>
                <c:pt idx="89">
                  <c:v>115</c:v>
                </c:pt>
                <c:pt idx="90">
                  <c:v>256</c:v>
                </c:pt>
                <c:pt idx="91">
                  <c:v>256</c:v>
                </c:pt>
                <c:pt idx="92">
                  <c:v>284</c:v>
                </c:pt>
                <c:pt idx="93">
                  <c:v>17</c:v>
                </c:pt>
                <c:pt idx="94">
                  <c:v>22</c:v>
                </c:pt>
                <c:pt idx="95">
                  <c:v>256</c:v>
                </c:pt>
                <c:pt idx="96">
                  <c:v>117</c:v>
                </c:pt>
                <c:pt idx="97">
                  <c:v>236</c:v>
                </c:pt>
                <c:pt idx="98">
                  <c:v>0</c:v>
                </c:pt>
                <c:pt idx="99">
                  <c:v>8</c:v>
                </c:pt>
                <c:pt idx="100">
                  <c:v>223</c:v>
                </c:pt>
                <c:pt idx="101">
                  <c:v>78</c:v>
                </c:pt>
                <c:pt idx="102">
                  <c:v>64</c:v>
                </c:pt>
                <c:pt idx="103">
                  <c:v>346</c:v>
                </c:pt>
                <c:pt idx="104">
                  <c:v>0</c:v>
                </c:pt>
                <c:pt idx="105">
                  <c:v>155</c:v>
                </c:pt>
                <c:pt idx="106">
                  <c:v>245</c:v>
                </c:pt>
                <c:pt idx="107">
                  <c:v>291</c:v>
                </c:pt>
                <c:pt idx="108">
                  <c:v>137</c:v>
                </c:pt>
                <c:pt idx="109">
                  <c:v>41</c:v>
                </c:pt>
                <c:pt idx="110">
                  <c:v>155</c:v>
                </c:pt>
                <c:pt idx="111">
                  <c:v>293</c:v>
                </c:pt>
                <c:pt idx="112">
                  <c:v>90</c:v>
                </c:pt>
                <c:pt idx="113">
                  <c:v>347</c:v>
                </c:pt>
                <c:pt idx="114">
                  <c:v>318</c:v>
                </c:pt>
                <c:pt idx="115">
                  <c:v>41</c:v>
                </c:pt>
                <c:pt idx="116">
                  <c:v>142</c:v>
                </c:pt>
                <c:pt idx="117">
                  <c:v>114</c:v>
                </c:pt>
                <c:pt idx="118">
                  <c:v>214</c:v>
                </c:pt>
                <c:pt idx="119">
                  <c:v>221</c:v>
                </c:pt>
                <c:pt idx="120">
                  <c:v>221</c:v>
                </c:pt>
                <c:pt idx="121">
                  <c:v>254</c:v>
                </c:pt>
                <c:pt idx="122">
                  <c:v>349</c:v>
                </c:pt>
                <c:pt idx="123">
                  <c:v>299</c:v>
                </c:pt>
                <c:pt idx="124">
                  <c:v>221</c:v>
                </c:pt>
                <c:pt idx="125">
                  <c:v>176</c:v>
                </c:pt>
                <c:pt idx="126">
                  <c:v>220</c:v>
                </c:pt>
                <c:pt idx="127">
                  <c:v>44</c:v>
                </c:pt>
                <c:pt idx="128">
                  <c:v>234</c:v>
                </c:pt>
                <c:pt idx="129">
                  <c:v>286</c:v>
                </c:pt>
                <c:pt idx="130">
                  <c:v>293</c:v>
                </c:pt>
                <c:pt idx="131">
                  <c:v>155</c:v>
                </c:pt>
                <c:pt idx="132">
                  <c:v>214</c:v>
                </c:pt>
                <c:pt idx="133">
                  <c:v>299</c:v>
                </c:pt>
                <c:pt idx="134">
                  <c:v>236</c:v>
                </c:pt>
                <c:pt idx="135">
                  <c:v>78</c:v>
                </c:pt>
                <c:pt idx="136">
                  <c:v>64</c:v>
                </c:pt>
                <c:pt idx="137">
                  <c:v>44</c:v>
                </c:pt>
                <c:pt idx="138">
                  <c:v>234</c:v>
                </c:pt>
                <c:pt idx="139">
                  <c:v>117</c:v>
                </c:pt>
                <c:pt idx="140">
                  <c:v>0</c:v>
                </c:pt>
                <c:pt idx="141">
                  <c:v>214</c:v>
                </c:pt>
                <c:pt idx="142">
                  <c:v>352</c:v>
                </c:pt>
                <c:pt idx="143">
                  <c:v>155</c:v>
                </c:pt>
                <c:pt idx="144">
                  <c:v>137</c:v>
                </c:pt>
                <c:pt idx="145">
                  <c:v>78</c:v>
                </c:pt>
                <c:pt idx="146">
                  <c:v>299</c:v>
                </c:pt>
                <c:pt idx="147">
                  <c:v>269</c:v>
                </c:pt>
                <c:pt idx="148">
                  <c:v>53</c:v>
                </c:pt>
                <c:pt idx="149">
                  <c:v>238</c:v>
                </c:pt>
                <c:pt idx="150">
                  <c:v>269</c:v>
                </c:pt>
                <c:pt idx="151">
                  <c:v>352</c:v>
                </c:pt>
                <c:pt idx="152">
                  <c:v>220</c:v>
                </c:pt>
                <c:pt idx="153">
                  <c:v>137</c:v>
                </c:pt>
                <c:pt idx="154">
                  <c:v>220</c:v>
                </c:pt>
                <c:pt idx="155">
                  <c:v>115</c:v>
                </c:pt>
                <c:pt idx="156">
                  <c:v>256</c:v>
                </c:pt>
                <c:pt idx="157">
                  <c:v>256</c:v>
                </c:pt>
                <c:pt idx="158">
                  <c:v>284</c:v>
                </c:pt>
                <c:pt idx="159">
                  <c:v>17</c:v>
                </c:pt>
                <c:pt idx="160">
                  <c:v>22</c:v>
                </c:pt>
                <c:pt idx="161">
                  <c:v>256</c:v>
                </c:pt>
                <c:pt idx="162">
                  <c:v>8</c:v>
                </c:pt>
                <c:pt idx="163">
                  <c:v>223</c:v>
                </c:pt>
                <c:pt idx="164">
                  <c:v>346</c:v>
                </c:pt>
                <c:pt idx="165">
                  <c:v>245</c:v>
                </c:pt>
                <c:pt idx="166">
                  <c:v>291</c:v>
                </c:pt>
                <c:pt idx="167">
                  <c:v>137</c:v>
                </c:pt>
                <c:pt idx="168">
                  <c:v>41</c:v>
                </c:pt>
                <c:pt idx="169">
                  <c:v>155</c:v>
                </c:pt>
                <c:pt idx="170">
                  <c:v>293</c:v>
                </c:pt>
                <c:pt idx="171">
                  <c:v>90</c:v>
                </c:pt>
                <c:pt idx="172">
                  <c:v>318</c:v>
                </c:pt>
                <c:pt idx="173">
                  <c:v>41</c:v>
                </c:pt>
                <c:pt idx="174">
                  <c:v>142</c:v>
                </c:pt>
                <c:pt idx="175">
                  <c:v>114</c:v>
                </c:pt>
                <c:pt idx="176">
                  <c:v>221</c:v>
                </c:pt>
                <c:pt idx="177">
                  <c:v>221</c:v>
                </c:pt>
                <c:pt idx="178">
                  <c:v>254</c:v>
                </c:pt>
                <c:pt idx="179">
                  <c:v>349</c:v>
                </c:pt>
                <c:pt idx="180">
                  <c:v>299</c:v>
                </c:pt>
                <c:pt idx="181">
                  <c:v>221</c:v>
                </c:pt>
                <c:pt idx="182">
                  <c:v>176</c:v>
                </c:pt>
                <c:pt idx="183">
                  <c:v>220</c:v>
                </c:pt>
                <c:pt idx="184">
                  <c:v>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3A-43C9-B45E-5E713F4DF3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Масса проппанта, тонн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Master!$O$3:$O$187</c:f>
              <c:numCache>
                <c:formatCode>0.00</c:formatCode>
                <c:ptCount val="185"/>
                <c:pt idx="0">
                  <c:v>69.7</c:v>
                </c:pt>
                <c:pt idx="1">
                  <c:v>60.8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51</c:v>
                </c:pt>
                <c:pt idx="8">
                  <c:v>50</c:v>
                </c:pt>
                <c:pt idx="9">
                  <c:v>50</c:v>
                </c:pt>
                <c:pt idx="10">
                  <c:v>55.5</c:v>
                </c:pt>
                <c:pt idx="11">
                  <c:v>50</c:v>
                </c:pt>
                <c:pt idx="12">
                  <c:v>50</c:v>
                </c:pt>
                <c:pt idx="13">
                  <c:v>60.8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101.8</c:v>
                </c:pt>
                <c:pt idx="18">
                  <c:v>50</c:v>
                </c:pt>
                <c:pt idx="19">
                  <c:v>59.7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51</c:v>
                </c:pt>
                <c:pt idx="26">
                  <c:v>69.8</c:v>
                </c:pt>
                <c:pt idx="27">
                  <c:v>69.8</c:v>
                </c:pt>
                <c:pt idx="28">
                  <c:v>69.8</c:v>
                </c:pt>
                <c:pt idx="29">
                  <c:v>51</c:v>
                </c:pt>
                <c:pt idx="30">
                  <c:v>38.299999999999997</c:v>
                </c:pt>
                <c:pt idx="31">
                  <c:v>50</c:v>
                </c:pt>
                <c:pt idx="32">
                  <c:v>50</c:v>
                </c:pt>
                <c:pt idx="33">
                  <c:v>70.8</c:v>
                </c:pt>
                <c:pt idx="34">
                  <c:v>71.8</c:v>
                </c:pt>
                <c:pt idx="35">
                  <c:v>69.7</c:v>
                </c:pt>
                <c:pt idx="36">
                  <c:v>45.8</c:v>
                </c:pt>
                <c:pt idx="37">
                  <c:v>70</c:v>
                </c:pt>
                <c:pt idx="38">
                  <c:v>70</c:v>
                </c:pt>
                <c:pt idx="39">
                  <c:v>73.3</c:v>
                </c:pt>
                <c:pt idx="40">
                  <c:v>72.8</c:v>
                </c:pt>
                <c:pt idx="41">
                  <c:v>65</c:v>
                </c:pt>
                <c:pt idx="42">
                  <c:v>70</c:v>
                </c:pt>
                <c:pt idx="43">
                  <c:v>50</c:v>
                </c:pt>
                <c:pt idx="44">
                  <c:v>71.8</c:v>
                </c:pt>
                <c:pt idx="45">
                  <c:v>70</c:v>
                </c:pt>
                <c:pt idx="46">
                  <c:v>38.299999999999997</c:v>
                </c:pt>
                <c:pt idx="47">
                  <c:v>69.8</c:v>
                </c:pt>
                <c:pt idx="48">
                  <c:v>39.26</c:v>
                </c:pt>
                <c:pt idx="49">
                  <c:v>69.8</c:v>
                </c:pt>
                <c:pt idx="50">
                  <c:v>50</c:v>
                </c:pt>
                <c:pt idx="51">
                  <c:v>65</c:v>
                </c:pt>
                <c:pt idx="52">
                  <c:v>62.6</c:v>
                </c:pt>
                <c:pt idx="53">
                  <c:v>50</c:v>
                </c:pt>
                <c:pt idx="54">
                  <c:v>89.82</c:v>
                </c:pt>
                <c:pt idx="55">
                  <c:v>89.82</c:v>
                </c:pt>
                <c:pt idx="56">
                  <c:v>90.2</c:v>
                </c:pt>
                <c:pt idx="57">
                  <c:v>89.8</c:v>
                </c:pt>
                <c:pt idx="58">
                  <c:v>90</c:v>
                </c:pt>
                <c:pt idx="59">
                  <c:v>90</c:v>
                </c:pt>
                <c:pt idx="60">
                  <c:v>89.8</c:v>
                </c:pt>
                <c:pt idx="61">
                  <c:v>50</c:v>
                </c:pt>
                <c:pt idx="62">
                  <c:v>91</c:v>
                </c:pt>
                <c:pt idx="63">
                  <c:v>90</c:v>
                </c:pt>
                <c:pt idx="64">
                  <c:v>49.3</c:v>
                </c:pt>
                <c:pt idx="65">
                  <c:v>90.3</c:v>
                </c:pt>
                <c:pt idx="66">
                  <c:v>90</c:v>
                </c:pt>
                <c:pt idx="67">
                  <c:v>90</c:v>
                </c:pt>
                <c:pt idx="68">
                  <c:v>63.8</c:v>
                </c:pt>
                <c:pt idx="69">
                  <c:v>92</c:v>
                </c:pt>
                <c:pt idx="70">
                  <c:v>26</c:v>
                </c:pt>
                <c:pt idx="71">
                  <c:v>80</c:v>
                </c:pt>
                <c:pt idx="72">
                  <c:v>7</c:v>
                </c:pt>
                <c:pt idx="73">
                  <c:v>10</c:v>
                </c:pt>
                <c:pt idx="74">
                  <c:v>10</c:v>
                </c:pt>
                <c:pt idx="75">
                  <c:v>21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10</c:v>
                </c:pt>
                <c:pt idx="80">
                  <c:v>5</c:v>
                </c:pt>
                <c:pt idx="81">
                  <c:v>5</c:v>
                </c:pt>
                <c:pt idx="82">
                  <c:v>10</c:v>
                </c:pt>
                <c:pt idx="83">
                  <c:v>5</c:v>
                </c:pt>
                <c:pt idx="84">
                  <c:v>5</c:v>
                </c:pt>
                <c:pt idx="85">
                  <c:v>10</c:v>
                </c:pt>
                <c:pt idx="86">
                  <c:v>15</c:v>
                </c:pt>
                <c:pt idx="87">
                  <c:v>5</c:v>
                </c:pt>
                <c:pt idx="88">
                  <c:v>10</c:v>
                </c:pt>
                <c:pt idx="89">
                  <c:v>5</c:v>
                </c:pt>
                <c:pt idx="90">
                  <c:v>7</c:v>
                </c:pt>
                <c:pt idx="91">
                  <c:v>7</c:v>
                </c:pt>
                <c:pt idx="92">
                  <c:v>3</c:v>
                </c:pt>
                <c:pt idx="93">
                  <c:v>7</c:v>
                </c:pt>
                <c:pt idx="94">
                  <c:v>17</c:v>
                </c:pt>
                <c:pt idx="95">
                  <c:v>7</c:v>
                </c:pt>
                <c:pt idx="96">
                  <c:v>21</c:v>
                </c:pt>
                <c:pt idx="97">
                  <c:v>10</c:v>
                </c:pt>
                <c:pt idx="98">
                  <c:v>15</c:v>
                </c:pt>
                <c:pt idx="99">
                  <c:v>10</c:v>
                </c:pt>
                <c:pt idx="100">
                  <c:v>5</c:v>
                </c:pt>
                <c:pt idx="101">
                  <c:v>2</c:v>
                </c:pt>
                <c:pt idx="102">
                  <c:v>3</c:v>
                </c:pt>
                <c:pt idx="103">
                  <c:v>15</c:v>
                </c:pt>
                <c:pt idx="104">
                  <c:v>15</c:v>
                </c:pt>
                <c:pt idx="105">
                  <c:v>10</c:v>
                </c:pt>
                <c:pt idx="106">
                  <c:v>1</c:v>
                </c:pt>
                <c:pt idx="107">
                  <c:v>7</c:v>
                </c:pt>
                <c:pt idx="108">
                  <c:v>15</c:v>
                </c:pt>
                <c:pt idx="109">
                  <c:v>10</c:v>
                </c:pt>
                <c:pt idx="110">
                  <c:v>7</c:v>
                </c:pt>
                <c:pt idx="111">
                  <c:v>6</c:v>
                </c:pt>
                <c:pt idx="112">
                  <c:v>7</c:v>
                </c:pt>
                <c:pt idx="113">
                  <c:v>15</c:v>
                </c:pt>
                <c:pt idx="114">
                  <c:v>5</c:v>
                </c:pt>
                <c:pt idx="115">
                  <c:v>10</c:v>
                </c:pt>
                <c:pt idx="116">
                  <c:v>15</c:v>
                </c:pt>
                <c:pt idx="117">
                  <c:v>10</c:v>
                </c:pt>
                <c:pt idx="118">
                  <c:v>5</c:v>
                </c:pt>
                <c:pt idx="119">
                  <c:v>5</c:v>
                </c:pt>
                <c:pt idx="120">
                  <c:v>7</c:v>
                </c:pt>
                <c:pt idx="121">
                  <c:v>0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15</c:v>
                </c:pt>
                <c:pt idx="126">
                  <c:v>10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21</c:v>
                </c:pt>
                <c:pt idx="131">
                  <c:v>10</c:v>
                </c:pt>
                <c:pt idx="132">
                  <c:v>5</c:v>
                </c:pt>
                <c:pt idx="133">
                  <c:v>5</c:v>
                </c:pt>
                <c:pt idx="134">
                  <c:v>10</c:v>
                </c:pt>
                <c:pt idx="135">
                  <c:v>2</c:v>
                </c:pt>
                <c:pt idx="136">
                  <c:v>3</c:v>
                </c:pt>
                <c:pt idx="137">
                  <c:v>6</c:v>
                </c:pt>
                <c:pt idx="138">
                  <c:v>5</c:v>
                </c:pt>
                <c:pt idx="139">
                  <c:v>21</c:v>
                </c:pt>
                <c:pt idx="140">
                  <c:v>15</c:v>
                </c:pt>
                <c:pt idx="141">
                  <c:v>5</c:v>
                </c:pt>
                <c:pt idx="142">
                  <c:v>7</c:v>
                </c:pt>
                <c:pt idx="143">
                  <c:v>10</c:v>
                </c:pt>
                <c:pt idx="144">
                  <c:v>10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10</c:v>
                </c:pt>
                <c:pt idx="151">
                  <c:v>5</c:v>
                </c:pt>
                <c:pt idx="152">
                  <c:v>10</c:v>
                </c:pt>
                <c:pt idx="153">
                  <c:v>15</c:v>
                </c:pt>
                <c:pt idx="154">
                  <c:v>10</c:v>
                </c:pt>
                <c:pt idx="155">
                  <c:v>5</c:v>
                </c:pt>
                <c:pt idx="156">
                  <c:v>7</c:v>
                </c:pt>
                <c:pt idx="157">
                  <c:v>7</c:v>
                </c:pt>
                <c:pt idx="158">
                  <c:v>3</c:v>
                </c:pt>
                <c:pt idx="159">
                  <c:v>7</c:v>
                </c:pt>
                <c:pt idx="160">
                  <c:v>17</c:v>
                </c:pt>
                <c:pt idx="161">
                  <c:v>7</c:v>
                </c:pt>
                <c:pt idx="162">
                  <c:v>10</c:v>
                </c:pt>
                <c:pt idx="163">
                  <c:v>5</c:v>
                </c:pt>
                <c:pt idx="164">
                  <c:v>15</c:v>
                </c:pt>
                <c:pt idx="165">
                  <c:v>1</c:v>
                </c:pt>
                <c:pt idx="166">
                  <c:v>7</c:v>
                </c:pt>
                <c:pt idx="167">
                  <c:v>15</c:v>
                </c:pt>
                <c:pt idx="168">
                  <c:v>10</c:v>
                </c:pt>
                <c:pt idx="169">
                  <c:v>7</c:v>
                </c:pt>
                <c:pt idx="170">
                  <c:v>6</c:v>
                </c:pt>
                <c:pt idx="171">
                  <c:v>7</c:v>
                </c:pt>
                <c:pt idx="172">
                  <c:v>5</c:v>
                </c:pt>
                <c:pt idx="173">
                  <c:v>10</c:v>
                </c:pt>
                <c:pt idx="174">
                  <c:v>15</c:v>
                </c:pt>
                <c:pt idx="175">
                  <c:v>10</c:v>
                </c:pt>
                <c:pt idx="176">
                  <c:v>5</c:v>
                </c:pt>
                <c:pt idx="177">
                  <c:v>7</c:v>
                </c:pt>
                <c:pt idx="178">
                  <c:v>0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15</c:v>
                </c:pt>
                <c:pt idx="183">
                  <c:v>10</c:v>
                </c:pt>
                <c:pt idx="18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C0-48A0-9A13-28A3ABB0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Полудлина трещины (длина одного крыла), 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Master!$Q$3:$Q$187</c:f>
              <c:numCache>
                <c:formatCode>0.00</c:formatCode>
                <c:ptCount val="185"/>
                <c:pt idx="0">
                  <c:v>186.6</c:v>
                </c:pt>
                <c:pt idx="1">
                  <c:v>121.7</c:v>
                </c:pt>
                <c:pt idx="2">
                  <c:v>142</c:v>
                </c:pt>
                <c:pt idx="3">
                  <c:v>133.36000000000001</c:v>
                </c:pt>
                <c:pt idx="4">
                  <c:v>161.1</c:v>
                </c:pt>
                <c:pt idx="5">
                  <c:v>171.07</c:v>
                </c:pt>
                <c:pt idx="6">
                  <c:v>119.57</c:v>
                </c:pt>
                <c:pt idx="7">
                  <c:v>127.07</c:v>
                </c:pt>
                <c:pt idx="8">
                  <c:v>149.91</c:v>
                </c:pt>
                <c:pt idx="9">
                  <c:v>89.617000000000004</c:v>
                </c:pt>
                <c:pt idx="10">
                  <c:v>103.2</c:v>
                </c:pt>
                <c:pt idx="11">
                  <c:v>153.08000000000001</c:v>
                </c:pt>
                <c:pt idx="12">
                  <c:v>142.43</c:v>
                </c:pt>
                <c:pt idx="13">
                  <c:v>132.1</c:v>
                </c:pt>
                <c:pt idx="14">
                  <c:v>123.93</c:v>
                </c:pt>
                <c:pt idx="15">
                  <c:v>125.3</c:v>
                </c:pt>
                <c:pt idx="16">
                  <c:v>172.49</c:v>
                </c:pt>
                <c:pt idx="17">
                  <c:v>253.2</c:v>
                </c:pt>
                <c:pt idx="18">
                  <c:v>168.58</c:v>
                </c:pt>
                <c:pt idx="19">
                  <c:v>173.5</c:v>
                </c:pt>
                <c:pt idx="20">
                  <c:v>144.04</c:v>
                </c:pt>
                <c:pt idx="21">
                  <c:v>156.27000000000001</c:v>
                </c:pt>
                <c:pt idx="22">
                  <c:v>128.93</c:v>
                </c:pt>
                <c:pt idx="23">
                  <c:v>144.69999999999999</c:v>
                </c:pt>
                <c:pt idx="24">
                  <c:v>145.82</c:v>
                </c:pt>
                <c:pt idx="25">
                  <c:v>125.48</c:v>
                </c:pt>
                <c:pt idx="26">
                  <c:v>153</c:v>
                </c:pt>
                <c:pt idx="27">
                  <c:v>142.9</c:v>
                </c:pt>
                <c:pt idx="28">
                  <c:v>166.6</c:v>
                </c:pt>
                <c:pt idx="29">
                  <c:v>143.25</c:v>
                </c:pt>
                <c:pt idx="30">
                  <c:v>157</c:v>
                </c:pt>
                <c:pt idx="31">
                  <c:v>137.74</c:v>
                </c:pt>
                <c:pt idx="32">
                  <c:v>121.28</c:v>
                </c:pt>
                <c:pt idx="33">
                  <c:v>155.5</c:v>
                </c:pt>
                <c:pt idx="34">
                  <c:v>169.6</c:v>
                </c:pt>
                <c:pt idx="35">
                  <c:v>208.8</c:v>
                </c:pt>
                <c:pt idx="36">
                  <c:v>128.69999999999999</c:v>
                </c:pt>
                <c:pt idx="37">
                  <c:v>144.26</c:v>
                </c:pt>
                <c:pt idx="38">
                  <c:v>137.43</c:v>
                </c:pt>
                <c:pt idx="39">
                  <c:v>197.8</c:v>
                </c:pt>
                <c:pt idx="40">
                  <c:v>201.4</c:v>
                </c:pt>
                <c:pt idx="41">
                  <c:v>162.44999999999999</c:v>
                </c:pt>
                <c:pt idx="42">
                  <c:v>167.06</c:v>
                </c:pt>
                <c:pt idx="43">
                  <c:v>136.15</c:v>
                </c:pt>
                <c:pt idx="44">
                  <c:v>171.1</c:v>
                </c:pt>
                <c:pt idx="45">
                  <c:v>132.86000000000001</c:v>
                </c:pt>
                <c:pt idx="46">
                  <c:v>158</c:v>
                </c:pt>
                <c:pt idx="47">
                  <c:v>133.19999999999999</c:v>
                </c:pt>
                <c:pt idx="48">
                  <c:v>136</c:v>
                </c:pt>
                <c:pt idx="49">
                  <c:v>159</c:v>
                </c:pt>
                <c:pt idx="50">
                  <c:v>96.650999999999996</c:v>
                </c:pt>
                <c:pt idx="51">
                  <c:v>148.22</c:v>
                </c:pt>
                <c:pt idx="52">
                  <c:v>121.2</c:v>
                </c:pt>
                <c:pt idx="53">
                  <c:v>124.98</c:v>
                </c:pt>
                <c:pt idx="54">
                  <c:v>168</c:v>
                </c:pt>
                <c:pt idx="55">
                  <c:v>171</c:v>
                </c:pt>
                <c:pt idx="56">
                  <c:v>164</c:v>
                </c:pt>
                <c:pt idx="57">
                  <c:v>205</c:v>
                </c:pt>
                <c:pt idx="58">
                  <c:v>136.44999999999999</c:v>
                </c:pt>
                <c:pt idx="59">
                  <c:v>154.80000000000001</c:v>
                </c:pt>
                <c:pt idx="60">
                  <c:v>157</c:v>
                </c:pt>
                <c:pt idx="61">
                  <c:v>113.7</c:v>
                </c:pt>
                <c:pt idx="62">
                  <c:v>141.88999999999999</c:v>
                </c:pt>
                <c:pt idx="63">
                  <c:v>140</c:v>
                </c:pt>
                <c:pt idx="64">
                  <c:v>157</c:v>
                </c:pt>
                <c:pt idx="65">
                  <c:v>148</c:v>
                </c:pt>
                <c:pt idx="66">
                  <c:v>69.875</c:v>
                </c:pt>
                <c:pt idx="67">
                  <c:v>171.66</c:v>
                </c:pt>
                <c:pt idx="68">
                  <c:v>142</c:v>
                </c:pt>
                <c:pt idx="69">
                  <c:v>139.19999999999999</c:v>
                </c:pt>
                <c:pt idx="70">
                  <c:v>70.658000000000001</c:v>
                </c:pt>
                <c:pt idx="71">
                  <c:v>138.13</c:v>
                </c:pt>
                <c:pt idx="72">
                  <c:v>113</c:v>
                </c:pt>
                <c:pt idx="73">
                  <c:v>71</c:v>
                </c:pt>
                <c:pt idx="74">
                  <c:v>70</c:v>
                </c:pt>
                <c:pt idx="75">
                  <c:v>106</c:v>
                </c:pt>
                <c:pt idx="76">
                  <c:v>56</c:v>
                </c:pt>
                <c:pt idx="77">
                  <c:v>54</c:v>
                </c:pt>
                <c:pt idx="78">
                  <c:v>54</c:v>
                </c:pt>
                <c:pt idx="79">
                  <c:v>73</c:v>
                </c:pt>
                <c:pt idx="80">
                  <c:v>64</c:v>
                </c:pt>
                <c:pt idx="81">
                  <c:v>67</c:v>
                </c:pt>
                <c:pt idx="82">
                  <c:v>71</c:v>
                </c:pt>
                <c:pt idx="83">
                  <c:v>37</c:v>
                </c:pt>
                <c:pt idx="84">
                  <c:v>45</c:v>
                </c:pt>
                <c:pt idx="85">
                  <c:v>92</c:v>
                </c:pt>
                <c:pt idx="86">
                  <c:v>96</c:v>
                </c:pt>
                <c:pt idx="87">
                  <c:v>37</c:v>
                </c:pt>
                <c:pt idx="88">
                  <c:v>77</c:v>
                </c:pt>
                <c:pt idx="89">
                  <c:v>45</c:v>
                </c:pt>
                <c:pt idx="90">
                  <c:v>40</c:v>
                </c:pt>
                <c:pt idx="91">
                  <c:v>53</c:v>
                </c:pt>
                <c:pt idx="92">
                  <c:v>46</c:v>
                </c:pt>
                <c:pt idx="93">
                  <c:v>58</c:v>
                </c:pt>
                <c:pt idx="94">
                  <c:v>86</c:v>
                </c:pt>
                <c:pt idx="95">
                  <c:v>65</c:v>
                </c:pt>
                <c:pt idx="96">
                  <c:v>81</c:v>
                </c:pt>
                <c:pt idx="97">
                  <c:v>73</c:v>
                </c:pt>
                <c:pt idx="98">
                  <c:v>91</c:v>
                </c:pt>
                <c:pt idx="99">
                  <c:v>73</c:v>
                </c:pt>
                <c:pt idx="100">
                  <c:v>55</c:v>
                </c:pt>
                <c:pt idx="101">
                  <c:v>57</c:v>
                </c:pt>
                <c:pt idx="102">
                  <c:v>32</c:v>
                </c:pt>
                <c:pt idx="103">
                  <c:v>150</c:v>
                </c:pt>
                <c:pt idx="104">
                  <c:v>87</c:v>
                </c:pt>
                <c:pt idx="105">
                  <c:v>86</c:v>
                </c:pt>
                <c:pt idx="106">
                  <c:v>46</c:v>
                </c:pt>
                <c:pt idx="107">
                  <c:v>66</c:v>
                </c:pt>
                <c:pt idx="108">
                  <c:v>107</c:v>
                </c:pt>
                <c:pt idx="109">
                  <c:v>60</c:v>
                </c:pt>
                <c:pt idx="110">
                  <c:v>69</c:v>
                </c:pt>
                <c:pt idx="111">
                  <c:v>45</c:v>
                </c:pt>
                <c:pt idx="112">
                  <c:v>66</c:v>
                </c:pt>
                <c:pt idx="113">
                  <c:v>96</c:v>
                </c:pt>
                <c:pt idx="114">
                  <c:v>44</c:v>
                </c:pt>
                <c:pt idx="115">
                  <c:v>79</c:v>
                </c:pt>
                <c:pt idx="116">
                  <c:v>110</c:v>
                </c:pt>
                <c:pt idx="117">
                  <c:v>89</c:v>
                </c:pt>
                <c:pt idx="118">
                  <c:v>46</c:v>
                </c:pt>
                <c:pt idx="119">
                  <c:v>46</c:v>
                </c:pt>
                <c:pt idx="120">
                  <c:v>48</c:v>
                </c:pt>
                <c:pt idx="121">
                  <c:v>51</c:v>
                </c:pt>
                <c:pt idx="122">
                  <c:v>57</c:v>
                </c:pt>
                <c:pt idx="123">
                  <c:v>53</c:v>
                </c:pt>
                <c:pt idx="124">
                  <c:v>46</c:v>
                </c:pt>
                <c:pt idx="125">
                  <c:v>95</c:v>
                </c:pt>
                <c:pt idx="126">
                  <c:v>84</c:v>
                </c:pt>
                <c:pt idx="127">
                  <c:v>59</c:v>
                </c:pt>
                <c:pt idx="128">
                  <c:v>63</c:v>
                </c:pt>
                <c:pt idx="129">
                  <c:v>61</c:v>
                </c:pt>
                <c:pt idx="130">
                  <c:v>106</c:v>
                </c:pt>
                <c:pt idx="131">
                  <c:v>73</c:v>
                </c:pt>
                <c:pt idx="132">
                  <c:v>45</c:v>
                </c:pt>
                <c:pt idx="133">
                  <c:v>37</c:v>
                </c:pt>
                <c:pt idx="134">
                  <c:v>73</c:v>
                </c:pt>
                <c:pt idx="135">
                  <c:v>57</c:v>
                </c:pt>
                <c:pt idx="136">
                  <c:v>32</c:v>
                </c:pt>
                <c:pt idx="137">
                  <c:v>59</c:v>
                </c:pt>
                <c:pt idx="138">
                  <c:v>63</c:v>
                </c:pt>
                <c:pt idx="139">
                  <c:v>81</c:v>
                </c:pt>
                <c:pt idx="140">
                  <c:v>87</c:v>
                </c:pt>
                <c:pt idx="141">
                  <c:v>46</c:v>
                </c:pt>
                <c:pt idx="142">
                  <c:v>113</c:v>
                </c:pt>
                <c:pt idx="143">
                  <c:v>71</c:v>
                </c:pt>
                <c:pt idx="144">
                  <c:v>70</c:v>
                </c:pt>
                <c:pt idx="145">
                  <c:v>56</c:v>
                </c:pt>
                <c:pt idx="146">
                  <c:v>54</c:v>
                </c:pt>
                <c:pt idx="147">
                  <c:v>54</c:v>
                </c:pt>
                <c:pt idx="148">
                  <c:v>64</c:v>
                </c:pt>
                <c:pt idx="149">
                  <c:v>67</c:v>
                </c:pt>
                <c:pt idx="150">
                  <c:v>71</c:v>
                </c:pt>
                <c:pt idx="151">
                  <c:v>37</c:v>
                </c:pt>
                <c:pt idx="152">
                  <c:v>92</c:v>
                </c:pt>
                <c:pt idx="153">
                  <c:v>96</c:v>
                </c:pt>
                <c:pt idx="154">
                  <c:v>77</c:v>
                </c:pt>
                <c:pt idx="155">
                  <c:v>45</c:v>
                </c:pt>
                <c:pt idx="156">
                  <c:v>40</c:v>
                </c:pt>
                <c:pt idx="157">
                  <c:v>53</c:v>
                </c:pt>
                <c:pt idx="158">
                  <c:v>46</c:v>
                </c:pt>
                <c:pt idx="159">
                  <c:v>58</c:v>
                </c:pt>
                <c:pt idx="160">
                  <c:v>86</c:v>
                </c:pt>
                <c:pt idx="161">
                  <c:v>65</c:v>
                </c:pt>
                <c:pt idx="162">
                  <c:v>73</c:v>
                </c:pt>
                <c:pt idx="163">
                  <c:v>55</c:v>
                </c:pt>
                <c:pt idx="164">
                  <c:v>150</c:v>
                </c:pt>
                <c:pt idx="165">
                  <c:v>46</c:v>
                </c:pt>
                <c:pt idx="166">
                  <c:v>66</c:v>
                </c:pt>
                <c:pt idx="167">
                  <c:v>107</c:v>
                </c:pt>
                <c:pt idx="168">
                  <c:v>60</c:v>
                </c:pt>
                <c:pt idx="169">
                  <c:v>69</c:v>
                </c:pt>
                <c:pt idx="170">
                  <c:v>45</c:v>
                </c:pt>
                <c:pt idx="171">
                  <c:v>66</c:v>
                </c:pt>
                <c:pt idx="172">
                  <c:v>44</c:v>
                </c:pt>
                <c:pt idx="173">
                  <c:v>79</c:v>
                </c:pt>
                <c:pt idx="174">
                  <c:v>110</c:v>
                </c:pt>
                <c:pt idx="175">
                  <c:v>89</c:v>
                </c:pt>
                <c:pt idx="176">
                  <c:v>46</c:v>
                </c:pt>
                <c:pt idx="177">
                  <c:v>48</c:v>
                </c:pt>
                <c:pt idx="178">
                  <c:v>51</c:v>
                </c:pt>
                <c:pt idx="179">
                  <c:v>57</c:v>
                </c:pt>
                <c:pt idx="180">
                  <c:v>53</c:v>
                </c:pt>
                <c:pt idx="181">
                  <c:v>46</c:v>
                </c:pt>
                <c:pt idx="182">
                  <c:v>95</c:v>
                </c:pt>
                <c:pt idx="183">
                  <c:v>84</c:v>
                </c:pt>
                <c:pt idx="184">
                  <c:v>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5F-49DF-B0CD-245C022BE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Высота трещины, 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Master!$S$3:$S$187</c:f>
              <c:numCache>
                <c:formatCode>0.00</c:formatCode>
                <c:ptCount val="185"/>
                <c:pt idx="0">
                  <c:v>36.5</c:v>
                </c:pt>
                <c:pt idx="1">
                  <c:v>38.24</c:v>
                </c:pt>
                <c:pt idx="2">
                  <c:v>29</c:v>
                </c:pt>
                <c:pt idx="3">
                  <c:v>40.338999999999999</c:v>
                </c:pt>
                <c:pt idx="4">
                  <c:v>38.764000000000003</c:v>
                </c:pt>
                <c:pt idx="5">
                  <c:v>28.678000000000001</c:v>
                </c:pt>
                <c:pt idx="6">
                  <c:v>33.802999999999997</c:v>
                </c:pt>
                <c:pt idx="7">
                  <c:v>37.764000000000003</c:v>
                </c:pt>
                <c:pt idx="8">
                  <c:v>39.582000000000001</c:v>
                </c:pt>
                <c:pt idx="9">
                  <c:v>47.92</c:v>
                </c:pt>
                <c:pt idx="10">
                  <c:v>54.6</c:v>
                </c:pt>
                <c:pt idx="11">
                  <c:v>33.192999999999998</c:v>
                </c:pt>
                <c:pt idx="12">
                  <c:v>30.123999999999999</c:v>
                </c:pt>
                <c:pt idx="13">
                  <c:v>47.64</c:v>
                </c:pt>
                <c:pt idx="14">
                  <c:v>42.43</c:v>
                </c:pt>
                <c:pt idx="15">
                  <c:v>37.700000000000003</c:v>
                </c:pt>
                <c:pt idx="16">
                  <c:v>33.149000000000001</c:v>
                </c:pt>
                <c:pt idx="17">
                  <c:v>33.5</c:v>
                </c:pt>
                <c:pt idx="18">
                  <c:v>32.664000000000001</c:v>
                </c:pt>
                <c:pt idx="19">
                  <c:v>30</c:v>
                </c:pt>
                <c:pt idx="20">
                  <c:v>34.904000000000003</c:v>
                </c:pt>
                <c:pt idx="21">
                  <c:v>27.914000000000001</c:v>
                </c:pt>
                <c:pt idx="22">
                  <c:v>42.814</c:v>
                </c:pt>
                <c:pt idx="23">
                  <c:v>34.476999999999997</c:v>
                </c:pt>
                <c:pt idx="24">
                  <c:v>33.773000000000003</c:v>
                </c:pt>
                <c:pt idx="25">
                  <c:v>37.799999999999997</c:v>
                </c:pt>
                <c:pt idx="26">
                  <c:v>29</c:v>
                </c:pt>
                <c:pt idx="27">
                  <c:v>42.16</c:v>
                </c:pt>
                <c:pt idx="28">
                  <c:v>44.3</c:v>
                </c:pt>
                <c:pt idx="29">
                  <c:v>18.702999999999999</c:v>
                </c:pt>
                <c:pt idx="30">
                  <c:v>37</c:v>
                </c:pt>
                <c:pt idx="31">
                  <c:v>33.912999999999997</c:v>
                </c:pt>
                <c:pt idx="32">
                  <c:v>38.636000000000003</c:v>
                </c:pt>
                <c:pt idx="33">
                  <c:v>38.020000000000003</c:v>
                </c:pt>
                <c:pt idx="34">
                  <c:v>29.5</c:v>
                </c:pt>
                <c:pt idx="35">
                  <c:v>28</c:v>
                </c:pt>
                <c:pt idx="36">
                  <c:v>47.36</c:v>
                </c:pt>
                <c:pt idx="37">
                  <c:v>24.611000000000001</c:v>
                </c:pt>
                <c:pt idx="38">
                  <c:v>28.684999999999999</c:v>
                </c:pt>
                <c:pt idx="39">
                  <c:v>29.8</c:v>
                </c:pt>
                <c:pt idx="40">
                  <c:v>28.3</c:v>
                </c:pt>
                <c:pt idx="41">
                  <c:v>32.231999999999999</c:v>
                </c:pt>
                <c:pt idx="42">
                  <c:v>26.001000000000001</c:v>
                </c:pt>
                <c:pt idx="43">
                  <c:v>29.821999999999999</c:v>
                </c:pt>
                <c:pt idx="44">
                  <c:v>37.6</c:v>
                </c:pt>
                <c:pt idx="45">
                  <c:v>32.109000000000002</c:v>
                </c:pt>
                <c:pt idx="46">
                  <c:v>23</c:v>
                </c:pt>
                <c:pt idx="47">
                  <c:v>41.59</c:v>
                </c:pt>
                <c:pt idx="48">
                  <c:v>28</c:v>
                </c:pt>
                <c:pt idx="49">
                  <c:v>43</c:v>
                </c:pt>
                <c:pt idx="50">
                  <c:v>65.162999999999997</c:v>
                </c:pt>
                <c:pt idx="51">
                  <c:v>37.909999999999997</c:v>
                </c:pt>
                <c:pt idx="52">
                  <c:v>41.7</c:v>
                </c:pt>
                <c:pt idx="53">
                  <c:v>39.345999999999997</c:v>
                </c:pt>
                <c:pt idx="54">
                  <c:v>57</c:v>
                </c:pt>
                <c:pt idx="55">
                  <c:v>41</c:v>
                </c:pt>
                <c:pt idx="56">
                  <c:v>59</c:v>
                </c:pt>
                <c:pt idx="57">
                  <c:v>53</c:v>
                </c:pt>
                <c:pt idx="58">
                  <c:v>52.712000000000003</c:v>
                </c:pt>
                <c:pt idx="59">
                  <c:v>50.037999999999997</c:v>
                </c:pt>
                <c:pt idx="60">
                  <c:v>37</c:v>
                </c:pt>
                <c:pt idx="61">
                  <c:v>43.2</c:v>
                </c:pt>
                <c:pt idx="62">
                  <c:v>58.3</c:v>
                </c:pt>
                <c:pt idx="63">
                  <c:v>68.900000000000006</c:v>
                </c:pt>
                <c:pt idx="64">
                  <c:v>37</c:v>
                </c:pt>
                <c:pt idx="65">
                  <c:v>52</c:v>
                </c:pt>
                <c:pt idx="66">
                  <c:v>32.125999999999998</c:v>
                </c:pt>
                <c:pt idx="67">
                  <c:v>43.283999999999999</c:v>
                </c:pt>
                <c:pt idx="68">
                  <c:v>40</c:v>
                </c:pt>
                <c:pt idx="69">
                  <c:v>69</c:v>
                </c:pt>
                <c:pt idx="70">
                  <c:v>49.715000000000003</c:v>
                </c:pt>
                <c:pt idx="71">
                  <c:v>67.876000000000005</c:v>
                </c:pt>
                <c:pt idx="72">
                  <c:v>12</c:v>
                </c:pt>
                <c:pt idx="73">
                  <c:v>12</c:v>
                </c:pt>
                <c:pt idx="74">
                  <c:v>15</c:v>
                </c:pt>
                <c:pt idx="75">
                  <c:v>21</c:v>
                </c:pt>
                <c:pt idx="76">
                  <c:v>12</c:v>
                </c:pt>
                <c:pt idx="77">
                  <c:v>10</c:v>
                </c:pt>
                <c:pt idx="78">
                  <c:v>13</c:v>
                </c:pt>
                <c:pt idx="79">
                  <c:v>11</c:v>
                </c:pt>
                <c:pt idx="80">
                  <c:v>11</c:v>
                </c:pt>
                <c:pt idx="81">
                  <c:v>16</c:v>
                </c:pt>
                <c:pt idx="82">
                  <c:v>19</c:v>
                </c:pt>
                <c:pt idx="83">
                  <c:v>19</c:v>
                </c:pt>
                <c:pt idx="84">
                  <c:v>17</c:v>
                </c:pt>
                <c:pt idx="85">
                  <c:v>14</c:v>
                </c:pt>
                <c:pt idx="86">
                  <c:v>11</c:v>
                </c:pt>
                <c:pt idx="87">
                  <c:v>16</c:v>
                </c:pt>
                <c:pt idx="88">
                  <c:v>17</c:v>
                </c:pt>
                <c:pt idx="89">
                  <c:v>14</c:v>
                </c:pt>
                <c:pt idx="90">
                  <c:v>17</c:v>
                </c:pt>
                <c:pt idx="91">
                  <c:v>19</c:v>
                </c:pt>
                <c:pt idx="92">
                  <c:v>16</c:v>
                </c:pt>
                <c:pt idx="93">
                  <c:v>10</c:v>
                </c:pt>
                <c:pt idx="94">
                  <c:v>15</c:v>
                </c:pt>
                <c:pt idx="95">
                  <c:v>14</c:v>
                </c:pt>
                <c:pt idx="96">
                  <c:v>22</c:v>
                </c:pt>
                <c:pt idx="97">
                  <c:v>18</c:v>
                </c:pt>
                <c:pt idx="98">
                  <c:v>11</c:v>
                </c:pt>
                <c:pt idx="99">
                  <c:v>18</c:v>
                </c:pt>
                <c:pt idx="100">
                  <c:v>13</c:v>
                </c:pt>
                <c:pt idx="101">
                  <c:v>10</c:v>
                </c:pt>
                <c:pt idx="102">
                  <c:v>12</c:v>
                </c:pt>
                <c:pt idx="103">
                  <c:v>9</c:v>
                </c:pt>
                <c:pt idx="104">
                  <c:v>13</c:v>
                </c:pt>
                <c:pt idx="105">
                  <c:v>12</c:v>
                </c:pt>
                <c:pt idx="106">
                  <c:v>9</c:v>
                </c:pt>
                <c:pt idx="107">
                  <c:v>10</c:v>
                </c:pt>
                <c:pt idx="108">
                  <c:v>12</c:v>
                </c:pt>
                <c:pt idx="109">
                  <c:v>14</c:v>
                </c:pt>
                <c:pt idx="110">
                  <c:v>13</c:v>
                </c:pt>
                <c:pt idx="111">
                  <c:v>15</c:v>
                </c:pt>
                <c:pt idx="112">
                  <c:v>12</c:v>
                </c:pt>
                <c:pt idx="113">
                  <c:v>17</c:v>
                </c:pt>
                <c:pt idx="114">
                  <c:v>17</c:v>
                </c:pt>
                <c:pt idx="115">
                  <c:v>15</c:v>
                </c:pt>
                <c:pt idx="116">
                  <c:v>16</c:v>
                </c:pt>
                <c:pt idx="117">
                  <c:v>16</c:v>
                </c:pt>
                <c:pt idx="118">
                  <c:v>14</c:v>
                </c:pt>
                <c:pt idx="119">
                  <c:v>14</c:v>
                </c:pt>
                <c:pt idx="120">
                  <c:v>18</c:v>
                </c:pt>
                <c:pt idx="121">
                  <c:v>15</c:v>
                </c:pt>
                <c:pt idx="122">
                  <c:v>12</c:v>
                </c:pt>
                <c:pt idx="123">
                  <c:v>11</c:v>
                </c:pt>
                <c:pt idx="124">
                  <c:v>16</c:v>
                </c:pt>
                <c:pt idx="125">
                  <c:v>13</c:v>
                </c:pt>
                <c:pt idx="126">
                  <c:v>13</c:v>
                </c:pt>
                <c:pt idx="127">
                  <c:v>19</c:v>
                </c:pt>
                <c:pt idx="128">
                  <c:v>12</c:v>
                </c:pt>
                <c:pt idx="129">
                  <c:v>11</c:v>
                </c:pt>
                <c:pt idx="130">
                  <c:v>21</c:v>
                </c:pt>
                <c:pt idx="131">
                  <c:v>11</c:v>
                </c:pt>
                <c:pt idx="132">
                  <c:v>17</c:v>
                </c:pt>
                <c:pt idx="133">
                  <c:v>16</c:v>
                </c:pt>
                <c:pt idx="134">
                  <c:v>18</c:v>
                </c:pt>
                <c:pt idx="135">
                  <c:v>10</c:v>
                </c:pt>
                <c:pt idx="136">
                  <c:v>12</c:v>
                </c:pt>
                <c:pt idx="137">
                  <c:v>19</c:v>
                </c:pt>
                <c:pt idx="138">
                  <c:v>12</c:v>
                </c:pt>
                <c:pt idx="139">
                  <c:v>22</c:v>
                </c:pt>
                <c:pt idx="140">
                  <c:v>13</c:v>
                </c:pt>
                <c:pt idx="141">
                  <c:v>14</c:v>
                </c:pt>
                <c:pt idx="142">
                  <c:v>12</c:v>
                </c:pt>
                <c:pt idx="143">
                  <c:v>12</c:v>
                </c:pt>
                <c:pt idx="144">
                  <c:v>15</c:v>
                </c:pt>
                <c:pt idx="145">
                  <c:v>12</c:v>
                </c:pt>
                <c:pt idx="146">
                  <c:v>10</c:v>
                </c:pt>
                <c:pt idx="147">
                  <c:v>13</c:v>
                </c:pt>
                <c:pt idx="148">
                  <c:v>11</c:v>
                </c:pt>
                <c:pt idx="149">
                  <c:v>16</c:v>
                </c:pt>
                <c:pt idx="150">
                  <c:v>19</c:v>
                </c:pt>
                <c:pt idx="151">
                  <c:v>19</c:v>
                </c:pt>
                <c:pt idx="152">
                  <c:v>14</c:v>
                </c:pt>
                <c:pt idx="153">
                  <c:v>11</c:v>
                </c:pt>
                <c:pt idx="154">
                  <c:v>17</c:v>
                </c:pt>
                <c:pt idx="155">
                  <c:v>14</c:v>
                </c:pt>
                <c:pt idx="156">
                  <c:v>17</c:v>
                </c:pt>
                <c:pt idx="157">
                  <c:v>19</c:v>
                </c:pt>
                <c:pt idx="158">
                  <c:v>16</c:v>
                </c:pt>
                <c:pt idx="159">
                  <c:v>10</c:v>
                </c:pt>
                <c:pt idx="160">
                  <c:v>15</c:v>
                </c:pt>
                <c:pt idx="161">
                  <c:v>14</c:v>
                </c:pt>
                <c:pt idx="162">
                  <c:v>18</c:v>
                </c:pt>
                <c:pt idx="163">
                  <c:v>13</c:v>
                </c:pt>
                <c:pt idx="164">
                  <c:v>9</c:v>
                </c:pt>
                <c:pt idx="165">
                  <c:v>9</c:v>
                </c:pt>
                <c:pt idx="166">
                  <c:v>10</c:v>
                </c:pt>
                <c:pt idx="167">
                  <c:v>12</c:v>
                </c:pt>
                <c:pt idx="168">
                  <c:v>14</c:v>
                </c:pt>
                <c:pt idx="169">
                  <c:v>13</c:v>
                </c:pt>
                <c:pt idx="170">
                  <c:v>15</c:v>
                </c:pt>
                <c:pt idx="171">
                  <c:v>12</c:v>
                </c:pt>
                <c:pt idx="172">
                  <c:v>17</c:v>
                </c:pt>
                <c:pt idx="173">
                  <c:v>15</c:v>
                </c:pt>
                <c:pt idx="174">
                  <c:v>16</c:v>
                </c:pt>
                <c:pt idx="175">
                  <c:v>16</c:v>
                </c:pt>
                <c:pt idx="176">
                  <c:v>14</c:v>
                </c:pt>
                <c:pt idx="177">
                  <c:v>18</c:v>
                </c:pt>
                <c:pt idx="178">
                  <c:v>15</c:v>
                </c:pt>
                <c:pt idx="179">
                  <c:v>12</c:v>
                </c:pt>
                <c:pt idx="180">
                  <c:v>11</c:v>
                </c:pt>
                <c:pt idx="181">
                  <c:v>16</c:v>
                </c:pt>
                <c:pt idx="182">
                  <c:v>13</c:v>
                </c:pt>
                <c:pt idx="183">
                  <c:v>13</c:v>
                </c:pt>
                <c:pt idx="184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8A-4F49-8F0D-1776F9EB90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Ширина трещины, мм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Master!$U$3:$U$187</c:f>
              <c:numCache>
                <c:formatCode>0.00</c:formatCode>
                <c:ptCount val="185"/>
                <c:pt idx="0">
                  <c:v>3.8999999999999998E-3</c:v>
                </c:pt>
                <c:pt idx="1">
                  <c:v>4.0899999999999999E-3</c:v>
                </c:pt>
                <c:pt idx="2">
                  <c:v>5.0000000000000001E-3</c:v>
                </c:pt>
                <c:pt idx="3">
                  <c:v>2.6760999999999998E-3</c:v>
                </c:pt>
                <c:pt idx="4">
                  <c:v>3.3999999999999998E-3</c:v>
                </c:pt>
                <c:pt idx="5">
                  <c:v>3.2152999999999999E-3</c:v>
                </c:pt>
                <c:pt idx="6">
                  <c:v>4.3206E-3</c:v>
                </c:pt>
                <c:pt idx="7">
                  <c:v>3.1829000000000002E-3</c:v>
                </c:pt>
                <c:pt idx="8">
                  <c:v>2.7633000000000002E-3</c:v>
                </c:pt>
                <c:pt idx="9">
                  <c:v>4.4275E-3</c:v>
                </c:pt>
                <c:pt idx="10">
                  <c:v>3.3E-3</c:v>
                </c:pt>
                <c:pt idx="11">
                  <c:v>3.4043999999999997E-3</c:v>
                </c:pt>
                <c:pt idx="12">
                  <c:v>4.5926999999999999E-3</c:v>
                </c:pt>
                <c:pt idx="13">
                  <c:v>3.13E-3</c:v>
                </c:pt>
                <c:pt idx="14">
                  <c:v>3.2503000000000002E-3</c:v>
                </c:pt>
                <c:pt idx="15">
                  <c:v>3.4306000000000002E-3</c:v>
                </c:pt>
                <c:pt idx="16">
                  <c:v>3.1316999999999998E-3</c:v>
                </c:pt>
                <c:pt idx="17">
                  <c:v>5.0000000000000001E-3</c:v>
                </c:pt>
                <c:pt idx="18">
                  <c:v>3.2743000000000004E-3</c:v>
                </c:pt>
                <c:pt idx="19">
                  <c:v>4.3E-3</c:v>
                </c:pt>
                <c:pt idx="20">
                  <c:v>2.8883999999999997E-3</c:v>
                </c:pt>
                <c:pt idx="21">
                  <c:v>2.9159000000000003E-3</c:v>
                </c:pt>
                <c:pt idx="22">
                  <c:v>3.1303999999999998E-3</c:v>
                </c:pt>
                <c:pt idx="23">
                  <c:v>3.3769E-3</c:v>
                </c:pt>
                <c:pt idx="24">
                  <c:v>3.6706E-3</c:v>
                </c:pt>
                <c:pt idx="25">
                  <c:v>3.176E-3</c:v>
                </c:pt>
                <c:pt idx="26">
                  <c:v>5.0312063138558899E-3</c:v>
                </c:pt>
                <c:pt idx="27">
                  <c:v>4.1599999999999996E-3</c:v>
                </c:pt>
                <c:pt idx="28">
                  <c:v>3.0699999999999998E-3</c:v>
                </c:pt>
                <c:pt idx="29">
                  <c:v>6.0019000000000001E-3</c:v>
                </c:pt>
                <c:pt idx="30">
                  <c:v>4.4424946828891757E-3</c:v>
                </c:pt>
                <c:pt idx="31">
                  <c:v>3.3296999999999997E-3</c:v>
                </c:pt>
                <c:pt idx="32">
                  <c:v>3.7904000000000002E-3</c:v>
                </c:pt>
                <c:pt idx="33">
                  <c:v>4.1399999999999996E-3</c:v>
                </c:pt>
                <c:pt idx="34">
                  <c:v>5.5999999999999999E-3</c:v>
                </c:pt>
                <c:pt idx="35">
                  <c:v>4.7999999999999996E-3</c:v>
                </c:pt>
                <c:pt idx="36">
                  <c:v>2.5900000000000003E-3</c:v>
                </c:pt>
                <c:pt idx="37">
                  <c:v>8.9175999999999995E-3</c:v>
                </c:pt>
                <c:pt idx="38">
                  <c:v>3.0201E-3</c:v>
                </c:pt>
                <c:pt idx="39">
                  <c:v>5.0000000000000001E-3</c:v>
                </c:pt>
                <c:pt idx="40">
                  <c:v>5.0000000000000001E-3</c:v>
                </c:pt>
                <c:pt idx="41">
                  <c:v>2.4127999999999997E-3</c:v>
                </c:pt>
                <c:pt idx="42">
                  <c:v>3.6186E-3</c:v>
                </c:pt>
                <c:pt idx="43">
                  <c:v>3.4196000000000001E-3</c:v>
                </c:pt>
                <c:pt idx="44">
                  <c:v>4.4000000000000003E-3</c:v>
                </c:pt>
                <c:pt idx="45">
                  <c:v>3.8E-3</c:v>
                </c:pt>
                <c:pt idx="46">
                  <c:v>6.2137163349725699E-3</c:v>
                </c:pt>
                <c:pt idx="47">
                  <c:v>4.13E-3</c:v>
                </c:pt>
                <c:pt idx="48">
                  <c:v>5.888896159131061E-3</c:v>
                </c:pt>
                <c:pt idx="49">
                  <c:v>3.4846674631620863E-3</c:v>
                </c:pt>
                <c:pt idx="50">
                  <c:v>2.8573000000000001E-3</c:v>
                </c:pt>
                <c:pt idx="51">
                  <c:v>3.6501000000000003E-3</c:v>
                </c:pt>
                <c:pt idx="52">
                  <c:v>3.5000000000000001E-3</c:v>
                </c:pt>
                <c:pt idx="53">
                  <c:v>3.1849000000000001E-3</c:v>
                </c:pt>
                <c:pt idx="54">
                  <c:v>2.6106934001670842E-3</c:v>
                </c:pt>
                <c:pt idx="55">
                  <c:v>4.1409582177315838E-3</c:v>
                </c:pt>
                <c:pt idx="56">
                  <c:v>2.58371227780074E-3</c:v>
                </c:pt>
                <c:pt idx="57">
                  <c:v>2.6720900197437763E-3</c:v>
                </c:pt>
                <c:pt idx="58">
                  <c:v>3.7810000000000001E-3</c:v>
                </c:pt>
                <c:pt idx="59">
                  <c:v>3.3708999999999996E-3</c:v>
                </c:pt>
                <c:pt idx="60">
                  <c:v>4.4424946828891757E-3</c:v>
                </c:pt>
                <c:pt idx="61">
                  <c:v>2.9500000000000004E-3</c:v>
                </c:pt>
                <c:pt idx="62">
                  <c:v>2.8E-3</c:v>
                </c:pt>
                <c:pt idx="63">
                  <c:v>2.8999999999999998E-3</c:v>
                </c:pt>
                <c:pt idx="64">
                  <c:v>4.4424946828891757E-3</c:v>
                </c:pt>
                <c:pt idx="65">
                  <c:v>3.7723828046408695E-3</c:v>
                </c:pt>
                <c:pt idx="66">
                  <c:v>2.5156000000000002E-3</c:v>
                </c:pt>
                <c:pt idx="67">
                  <c:v>3.6604999999999997E-3</c:v>
                </c:pt>
                <c:pt idx="68">
                  <c:v>3.5779191276692412E-3</c:v>
                </c:pt>
                <c:pt idx="69">
                  <c:v>3.0000000000000001E-3</c:v>
                </c:pt>
                <c:pt idx="70">
                  <c:v>2.0236999999999998E-3</c:v>
                </c:pt>
                <c:pt idx="71">
                  <c:v>2.8896999999999998E-3</c:v>
                </c:pt>
                <c:pt idx="72">
                  <c:v>2E-3</c:v>
                </c:pt>
                <c:pt idx="73">
                  <c:v>3.5000000000000001E-3</c:v>
                </c:pt>
                <c:pt idx="74">
                  <c:v>2.7000000000000001E-3</c:v>
                </c:pt>
                <c:pt idx="75">
                  <c:v>3.0000000000000001E-3</c:v>
                </c:pt>
                <c:pt idx="76">
                  <c:v>1.9E-3</c:v>
                </c:pt>
                <c:pt idx="77">
                  <c:v>2.2000000000000001E-3</c:v>
                </c:pt>
                <c:pt idx="78">
                  <c:v>1.5E-3</c:v>
                </c:pt>
                <c:pt idx="79">
                  <c:v>3.5000000000000001E-3</c:v>
                </c:pt>
                <c:pt idx="80">
                  <c:v>2.5000000000000001E-3</c:v>
                </c:pt>
                <c:pt idx="81">
                  <c:v>1.4E-3</c:v>
                </c:pt>
                <c:pt idx="82">
                  <c:v>2E-3</c:v>
                </c:pt>
                <c:pt idx="83">
                  <c:v>2E-3</c:v>
                </c:pt>
                <c:pt idx="84">
                  <c:v>1.6999999999999999E-3</c:v>
                </c:pt>
                <c:pt idx="85">
                  <c:v>1.6999999999999999E-3</c:v>
                </c:pt>
                <c:pt idx="86">
                  <c:v>5.0999999999999995E-3</c:v>
                </c:pt>
                <c:pt idx="87">
                  <c:v>2.2000000000000001E-3</c:v>
                </c:pt>
                <c:pt idx="88">
                  <c:v>2.2000000000000001E-3</c:v>
                </c:pt>
                <c:pt idx="89">
                  <c:v>2.1000000000000003E-3</c:v>
                </c:pt>
                <c:pt idx="90">
                  <c:v>2.5000000000000001E-3</c:v>
                </c:pt>
                <c:pt idx="91">
                  <c:v>1.8E-3</c:v>
                </c:pt>
                <c:pt idx="92">
                  <c:v>1E-3</c:v>
                </c:pt>
                <c:pt idx="93">
                  <c:v>3.3E-3</c:v>
                </c:pt>
                <c:pt idx="94">
                  <c:v>3.3999999999999998E-3</c:v>
                </c:pt>
                <c:pt idx="95">
                  <c:v>2E-3</c:v>
                </c:pt>
                <c:pt idx="96">
                  <c:v>3.2000000000000002E-3</c:v>
                </c:pt>
                <c:pt idx="97">
                  <c:v>2E-3</c:v>
                </c:pt>
                <c:pt idx="98">
                  <c:v>4.4000000000000003E-3</c:v>
                </c:pt>
                <c:pt idx="99">
                  <c:v>2.2000000000000001E-3</c:v>
                </c:pt>
                <c:pt idx="100">
                  <c:v>1.9E-3</c:v>
                </c:pt>
                <c:pt idx="101">
                  <c:v>1.2999999999999999E-3</c:v>
                </c:pt>
                <c:pt idx="102">
                  <c:v>2.1000000000000003E-3</c:v>
                </c:pt>
                <c:pt idx="103">
                  <c:v>4.0000000000000001E-3</c:v>
                </c:pt>
                <c:pt idx="104">
                  <c:v>2E-3</c:v>
                </c:pt>
                <c:pt idx="105">
                  <c:v>2.5999999999999999E-3</c:v>
                </c:pt>
                <c:pt idx="106">
                  <c:v>5.9999999999999995E-4</c:v>
                </c:pt>
                <c:pt idx="107">
                  <c:v>3.0000000000000001E-3</c:v>
                </c:pt>
                <c:pt idx="108">
                  <c:v>3.3E-3</c:v>
                </c:pt>
                <c:pt idx="109">
                  <c:v>3.3999999999999998E-3</c:v>
                </c:pt>
                <c:pt idx="110">
                  <c:v>2.2000000000000001E-3</c:v>
                </c:pt>
                <c:pt idx="111">
                  <c:v>2.5000000000000001E-3</c:v>
                </c:pt>
                <c:pt idx="112">
                  <c:v>2.7000000000000001E-3</c:v>
                </c:pt>
                <c:pt idx="113">
                  <c:v>2.8999999999999998E-3</c:v>
                </c:pt>
                <c:pt idx="114">
                  <c:v>2.3999999999999998E-3</c:v>
                </c:pt>
                <c:pt idx="115">
                  <c:v>2.5000000000000001E-3</c:v>
                </c:pt>
                <c:pt idx="116">
                  <c:v>2.5000000000000001E-3</c:v>
                </c:pt>
                <c:pt idx="117">
                  <c:v>2.2000000000000001E-3</c:v>
                </c:pt>
                <c:pt idx="118">
                  <c:v>2.2000000000000001E-3</c:v>
                </c:pt>
                <c:pt idx="119">
                  <c:v>1.6999999999999999E-3</c:v>
                </c:pt>
                <c:pt idx="120">
                  <c:v>2E-3</c:v>
                </c:pt>
                <c:pt idx="121">
                  <c:v>1.9E-3</c:v>
                </c:pt>
                <c:pt idx="122">
                  <c:v>2.3E-3</c:v>
                </c:pt>
                <c:pt idx="123">
                  <c:v>2.3E-3</c:v>
                </c:pt>
                <c:pt idx="124">
                  <c:v>2E-3</c:v>
                </c:pt>
                <c:pt idx="125">
                  <c:v>3.5000000000000001E-3</c:v>
                </c:pt>
                <c:pt idx="126">
                  <c:v>2.1000000000000003E-3</c:v>
                </c:pt>
                <c:pt idx="127">
                  <c:v>1.6999999999999999E-3</c:v>
                </c:pt>
                <c:pt idx="128">
                  <c:v>1.8E-3</c:v>
                </c:pt>
                <c:pt idx="129">
                  <c:v>1.6999999999999999E-3</c:v>
                </c:pt>
                <c:pt idx="130">
                  <c:v>3.0000000000000001E-3</c:v>
                </c:pt>
                <c:pt idx="131">
                  <c:v>3.5000000000000001E-3</c:v>
                </c:pt>
                <c:pt idx="132">
                  <c:v>1.6999999999999999E-3</c:v>
                </c:pt>
                <c:pt idx="133">
                  <c:v>2.2000000000000001E-3</c:v>
                </c:pt>
                <c:pt idx="134">
                  <c:v>2E-3</c:v>
                </c:pt>
                <c:pt idx="135">
                  <c:v>1.2999999999999999E-3</c:v>
                </c:pt>
                <c:pt idx="136">
                  <c:v>2.1000000000000003E-3</c:v>
                </c:pt>
                <c:pt idx="137">
                  <c:v>1.6999999999999999E-3</c:v>
                </c:pt>
                <c:pt idx="138">
                  <c:v>1.8E-3</c:v>
                </c:pt>
                <c:pt idx="139">
                  <c:v>3.2000000000000002E-3</c:v>
                </c:pt>
                <c:pt idx="140">
                  <c:v>2E-3</c:v>
                </c:pt>
                <c:pt idx="141">
                  <c:v>2.2000000000000001E-3</c:v>
                </c:pt>
                <c:pt idx="142">
                  <c:v>2E-3</c:v>
                </c:pt>
                <c:pt idx="143">
                  <c:v>3.5000000000000001E-3</c:v>
                </c:pt>
                <c:pt idx="144">
                  <c:v>2.7000000000000001E-3</c:v>
                </c:pt>
                <c:pt idx="145">
                  <c:v>1.9E-3</c:v>
                </c:pt>
                <c:pt idx="146">
                  <c:v>2.2000000000000001E-3</c:v>
                </c:pt>
                <c:pt idx="147">
                  <c:v>1.5E-3</c:v>
                </c:pt>
                <c:pt idx="148">
                  <c:v>2.5000000000000001E-3</c:v>
                </c:pt>
                <c:pt idx="149">
                  <c:v>1.4E-3</c:v>
                </c:pt>
                <c:pt idx="150">
                  <c:v>2E-3</c:v>
                </c:pt>
                <c:pt idx="151">
                  <c:v>2E-3</c:v>
                </c:pt>
                <c:pt idx="152">
                  <c:v>1.6999999999999999E-3</c:v>
                </c:pt>
                <c:pt idx="153">
                  <c:v>5.0999999999999995E-3</c:v>
                </c:pt>
                <c:pt idx="154">
                  <c:v>2.2000000000000001E-3</c:v>
                </c:pt>
                <c:pt idx="155">
                  <c:v>2.1000000000000003E-3</c:v>
                </c:pt>
                <c:pt idx="156">
                  <c:v>2.5000000000000001E-3</c:v>
                </c:pt>
                <c:pt idx="157">
                  <c:v>1.8E-3</c:v>
                </c:pt>
                <c:pt idx="158">
                  <c:v>1E-3</c:v>
                </c:pt>
                <c:pt idx="159">
                  <c:v>3.3E-3</c:v>
                </c:pt>
                <c:pt idx="160">
                  <c:v>3.3999999999999998E-3</c:v>
                </c:pt>
                <c:pt idx="161">
                  <c:v>2E-3</c:v>
                </c:pt>
                <c:pt idx="162">
                  <c:v>2.2000000000000001E-3</c:v>
                </c:pt>
                <c:pt idx="163">
                  <c:v>1.9E-3</c:v>
                </c:pt>
                <c:pt idx="164">
                  <c:v>4.0000000000000001E-3</c:v>
                </c:pt>
                <c:pt idx="165">
                  <c:v>5.9999999999999995E-4</c:v>
                </c:pt>
                <c:pt idx="166">
                  <c:v>3.0000000000000001E-3</c:v>
                </c:pt>
                <c:pt idx="167">
                  <c:v>3.3E-3</c:v>
                </c:pt>
                <c:pt idx="168">
                  <c:v>3.3999999999999998E-3</c:v>
                </c:pt>
                <c:pt idx="169">
                  <c:v>2.2000000000000001E-3</c:v>
                </c:pt>
                <c:pt idx="170">
                  <c:v>2.5000000000000001E-3</c:v>
                </c:pt>
                <c:pt idx="171">
                  <c:v>2.7000000000000001E-3</c:v>
                </c:pt>
                <c:pt idx="172">
                  <c:v>2.3999999999999998E-3</c:v>
                </c:pt>
                <c:pt idx="173">
                  <c:v>2.5000000000000001E-3</c:v>
                </c:pt>
                <c:pt idx="174">
                  <c:v>2.5000000000000001E-3</c:v>
                </c:pt>
                <c:pt idx="175">
                  <c:v>2.2000000000000001E-3</c:v>
                </c:pt>
                <c:pt idx="176">
                  <c:v>1.6999999999999999E-3</c:v>
                </c:pt>
                <c:pt idx="177">
                  <c:v>2E-3</c:v>
                </c:pt>
                <c:pt idx="178">
                  <c:v>1.9E-3</c:v>
                </c:pt>
                <c:pt idx="179">
                  <c:v>2.3E-3</c:v>
                </c:pt>
                <c:pt idx="180">
                  <c:v>2.3E-3</c:v>
                </c:pt>
                <c:pt idx="181">
                  <c:v>2E-3</c:v>
                </c:pt>
                <c:pt idx="182">
                  <c:v>3.5000000000000001E-3</c:v>
                </c:pt>
                <c:pt idx="183">
                  <c:v>2.1000000000000003E-3</c:v>
                </c:pt>
                <c:pt idx="184">
                  <c:v>1.6999999999999999E-3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44-46A9-8DCA-2541A727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Забойное давление, атм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Master!$W$3:$W$187</c:f>
              <c:numCache>
                <c:formatCode>0.00</c:formatCode>
                <c:ptCount val="185"/>
                <c:pt idx="0">
                  <c:v>65</c:v>
                </c:pt>
                <c:pt idx="1">
                  <c:v>0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110</c:v>
                </c:pt>
                <c:pt idx="8">
                  <c:v>100</c:v>
                </c:pt>
                <c:pt idx="9">
                  <c:v>65</c:v>
                </c:pt>
                <c:pt idx="10">
                  <c:v>100</c:v>
                </c:pt>
                <c:pt idx="11">
                  <c:v>65</c:v>
                </c:pt>
                <c:pt idx="12">
                  <c:v>65</c:v>
                </c:pt>
                <c:pt idx="13">
                  <c:v>60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120</c:v>
                </c:pt>
                <c:pt idx="18">
                  <c:v>65</c:v>
                </c:pt>
                <c:pt idx="19">
                  <c:v>150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80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50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150</c:v>
                </c:pt>
                <c:pt idx="35">
                  <c:v>65</c:v>
                </c:pt>
                <c:pt idx="36">
                  <c:v>60</c:v>
                </c:pt>
                <c:pt idx="37">
                  <c:v>60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150</c:v>
                </c:pt>
                <c:pt idx="45">
                  <c:v>65</c:v>
                </c:pt>
                <c:pt idx="46">
                  <c:v>65</c:v>
                </c:pt>
                <c:pt idx="47">
                  <c:v>60</c:v>
                </c:pt>
                <c:pt idx="48">
                  <c:v>150</c:v>
                </c:pt>
                <c:pt idx="49">
                  <c:v>150</c:v>
                </c:pt>
                <c:pt idx="50">
                  <c:v>110</c:v>
                </c:pt>
                <c:pt idx="51">
                  <c:v>65</c:v>
                </c:pt>
                <c:pt idx="52">
                  <c:v>65</c:v>
                </c:pt>
                <c:pt idx="53">
                  <c:v>100</c:v>
                </c:pt>
                <c:pt idx="54">
                  <c:v>95</c:v>
                </c:pt>
                <c:pt idx="55">
                  <c:v>95</c:v>
                </c:pt>
                <c:pt idx="56">
                  <c:v>95</c:v>
                </c:pt>
                <c:pt idx="57">
                  <c:v>95</c:v>
                </c:pt>
                <c:pt idx="58">
                  <c:v>95</c:v>
                </c:pt>
                <c:pt idx="59">
                  <c:v>95</c:v>
                </c:pt>
                <c:pt idx="60">
                  <c:v>50</c:v>
                </c:pt>
                <c:pt idx="61">
                  <c:v>230</c:v>
                </c:pt>
                <c:pt idx="62">
                  <c:v>95</c:v>
                </c:pt>
                <c:pt idx="63">
                  <c:v>95</c:v>
                </c:pt>
                <c:pt idx="64">
                  <c:v>50</c:v>
                </c:pt>
                <c:pt idx="65">
                  <c:v>95</c:v>
                </c:pt>
                <c:pt idx="66">
                  <c:v>95</c:v>
                </c:pt>
                <c:pt idx="67">
                  <c:v>95</c:v>
                </c:pt>
                <c:pt idx="68">
                  <c:v>95</c:v>
                </c:pt>
                <c:pt idx="69">
                  <c:v>95</c:v>
                </c:pt>
                <c:pt idx="70">
                  <c:v>95</c:v>
                </c:pt>
                <c:pt idx="71">
                  <c:v>95</c:v>
                </c:pt>
                <c:pt idx="72">
                  <c:v>103</c:v>
                </c:pt>
                <c:pt idx="73">
                  <c:v>57</c:v>
                </c:pt>
                <c:pt idx="74">
                  <c:v>105</c:v>
                </c:pt>
                <c:pt idx="75">
                  <c:v>74</c:v>
                </c:pt>
                <c:pt idx="76">
                  <c:v>80</c:v>
                </c:pt>
                <c:pt idx="77">
                  <c:v>103</c:v>
                </c:pt>
                <c:pt idx="78">
                  <c:v>101</c:v>
                </c:pt>
                <c:pt idx="79">
                  <c:v>72</c:v>
                </c:pt>
                <c:pt idx="80">
                  <c:v>129</c:v>
                </c:pt>
                <c:pt idx="81">
                  <c:v>61</c:v>
                </c:pt>
                <c:pt idx="82">
                  <c:v>68</c:v>
                </c:pt>
                <c:pt idx="83">
                  <c:v>55</c:v>
                </c:pt>
                <c:pt idx="84">
                  <c:v>113</c:v>
                </c:pt>
                <c:pt idx="85">
                  <c:v>84</c:v>
                </c:pt>
                <c:pt idx="86">
                  <c:v>81</c:v>
                </c:pt>
                <c:pt idx="87">
                  <c:v>56</c:v>
                </c:pt>
                <c:pt idx="88">
                  <c:v>97</c:v>
                </c:pt>
                <c:pt idx="89">
                  <c:v>64</c:v>
                </c:pt>
                <c:pt idx="90">
                  <c:v>94</c:v>
                </c:pt>
                <c:pt idx="91">
                  <c:v>81</c:v>
                </c:pt>
                <c:pt idx="92">
                  <c:v>51</c:v>
                </c:pt>
                <c:pt idx="93">
                  <c:v>90</c:v>
                </c:pt>
                <c:pt idx="94">
                  <c:v>51</c:v>
                </c:pt>
                <c:pt idx="95">
                  <c:v>109</c:v>
                </c:pt>
                <c:pt idx="96">
                  <c:v>0</c:v>
                </c:pt>
                <c:pt idx="97">
                  <c:v>95</c:v>
                </c:pt>
                <c:pt idx="98">
                  <c:v>73</c:v>
                </c:pt>
                <c:pt idx="99">
                  <c:v>98</c:v>
                </c:pt>
                <c:pt idx="100">
                  <c:v>101</c:v>
                </c:pt>
                <c:pt idx="101">
                  <c:v>164</c:v>
                </c:pt>
                <c:pt idx="102">
                  <c:v>61</c:v>
                </c:pt>
                <c:pt idx="103">
                  <c:v>79</c:v>
                </c:pt>
                <c:pt idx="104">
                  <c:v>0</c:v>
                </c:pt>
                <c:pt idx="105">
                  <c:v>50</c:v>
                </c:pt>
                <c:pt idx="106">
                  <c:v>43</c:v>
                </c:pt>
                <c:pt idx="107">
                  <c:v>74</c:v>
                </c:pt>
                <c:pt idx="108">
                  <c:v>73</c:v>
                </c:pt>
                <c:pt idx="109">
                  <c:v>58</c:v>
                </c:pt>
                <c:pt idx="110">
                  <c:v>101</c:v>
                </c:pt>
                <c:pt idx="111">
                  <c:v>56</c:v>
                </c:pt>
                <c:pt idx="112">
                  <c:v>72</c:v>
                </c:pt>
                <c:pt idx="113">
                  <c:v>96</c:v>
                </c:pt>
                <c:pt idx="114">
                  <c:v>41</c:v>
                </c:pt>
                <c:pt idx="115">
                  <c:v>96</c:v>
                </c:pt>
                <c:pt idx="116">
                  <c:v>120</c:v>
                </c:pt>
                <c:pt idx="117">
                  <c:v>79</c:v>
                </c:pt>
                <c:pt idx="118">
                  <c:v>0</c:v>
                </c:pt>
                <c:pt idx="119">
                  <c:v>99</c:v>
                </c:pt>
                <c:pt idx="120">
                  <c:v>44</c:v>
                </c:pt>
                <c:pt idx="121">
                  <c:v>118</c:v>
                </c:pt>
                <c:pt idx="122">
                  <c:v>103</c:v>
                </c:pt>
                <c:pt idx="123">
                  <c:v>75</c:v>
                </c:pt>
                <c:pt idx="124">
                  <c:v>87</c:v>
                </c:pt>
                <c:pt idx="125">
                  <c:v>79</c:v>
                </c:pt>
                <c:pt idx="126">
                  <c:v>78</c:v>
                </c:pt>
                <c:pt idx="127">
                  <c:v>56</c:v>
                </c:pt>
                <c:pt idx="128">
                  <c:v>83</c:v>
                </c:pt>
                <c:pt idx="129">
                  <c:v>101</c:v>
                </c:pt>
                <c:pt idx="130">
                  <c:v>74</c:v>
                </c:pt>
                <c:pt idx="131">
                  <c:v>72</c:v>
                </c:pt>
                <c:pt idx="132">
                  <c:v>113</c:v>
                </c:pt>
                <c:pt idx="133">
                  <c:v>56</c:v>
                </c:pt>
                <c:pt idx="134">
                  <c:v>95</c:v>
                </c:pt>
                <c:pt idx="135">
                  <c:v>164</c:v>
                </c:pt>
                <c:pt idx="136">
                  <c:v>61</c:v>
                </c:pt>
                <c:pt idx="137">
                  <c:v>56</c:v>
                </c:pt>
                <c:pt idx="138">
                  <c:v>83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103</c:v>
                </c:pt>
                <c:pt idx="143">
                  <c:v>57</c:v>
                </c:pt>
                <c:pt idx="144">
                  <c:v>105</c:v>
                </c:pt>
                <c:pt idx="145">
                  <c:v>80</c:v>
                </c:pt>
                <c:pt idx="146">
                  <c:v>103</c:v>
                </c:pt>
                <c:pt idx="147">
                  <c:v>101</c:v>
                </c:pt>
                <c:pt idx="148">
                  <c:v>129</c:v>
                </c:pt>
                <c:pt idx="149">
                  <c:v>61</c:v>
                </c:pt>
                <c:pt idx="150">
                  <c:v>68</c:v>
                </c:pt>
                <c:pt idx="151">
                  <c:v>55</c:v>
                </c:pt>
                <c:pt idx="152">
                  <c:v>84</c:v>
                </c:pt>
                <c:pt idx="153">
                  <c:v>81</c:v>
                </c:pt>
                <c:pt idx="154">
                  <c:v>97</c:v>
                </c:pt>
                <c:pt idx="155">
                  <c:v>64</c:v>
                </c:pt>
                <c:pt idx="156">
                  <c:v>94</c:v>
                </c:pt>
                <c:pt idx="157">
                  <c:v>81</c:v>
                </c:pt>
                <c:pt idx="158">
                  <c:v>51</c:v>
                </c:pt>
                <c:pt idx="159">
                  <c:v>90</c:v>
                </c:pt>
                <c:pt idx="160">
                  <c:v>51</c:v>
                </c:pt>
                <c:pt idx="161">
                  <c:v>109</c:v>
                </c:pt>
                <c:pt idx="162">
                  <c:v>98</c:v>
                </c:pt>
                <c:pt idx="163">
                  <c:v>101</c:v>
                </c:pt>
                <c:pt idx="164">
                  <c:v>79</c:v>
                </c:pt>
                <c:pt idx="165">
                  <c:v>43</c:v>
                </c:pt>
                <c:pt idx="166">
                  <c:v>74</c:v>
                </c:pt>
                <c:pt idx="167">
                  <c:v>73</c:v>
                </c:pt>
                <c:pt idx="168">
                  <c:v>58</c:v>
                </c:pt>
                <c:pt idx="169">
                  <c:v>101</c:v>
                </c:pt>
                <c:pt idx="170">
                  <c:v>56</c:v>
                </c:pt>
                <c:pt idx="171">
                  <c:v>72</c:v>
                </c:pt>
                <c:pt idx="172">
                  <c:v>41</c:v>
                </c:pt>
                <c:pt idx="173">
                  <c:v>96</c:v>
                </c:pt>
                <c:pt idx="174">
                  <c:v>120</c:v>
                </c:pt>
                <c:pt idx="175">
                  <c:v>79</c:v>
                </c:pt>
                <c:pt idx="176">
                  <c:v>99</c:v>
                </c:pt>
                <c:pt idx="177">
                  <c:v>44</c:v>
                </c:pt>
                <c:pt idx="178">
                  <c:v>118</c:v>
                </c:pt>
                <c:pt idx="179">
                  <c:v>103</c:v>
                </c:pt>
                <c:pt idx="180">
                  <c:v>75</c:v>
                </c:pt>
                <c:pt idx="181">
                  <c:v>87</c:v>
                </c:pt>
                <c:pt idx="182">
                  <c:v>79</c:v>
                </c:pt>
                <c:pt idx="183">
                  <c:v>78</c:v>
                </c:pt>
                <c:pt idx="184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B7-47FF-B8AA-C5EDAED81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Депрессия (разница пластового и забойного давлений), атм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Master!$Y$3:$Y$187</c:f>
              <c:numCache>
                <c:formatCode>0.00</c:formatCode>
                <c:ptCount val="185"/>
                <c:pt idx="0">
                  <c:v>285</c:v>
                </c:pt>
                <c:pt idx="1">
                  <c:v>360</c:v>
                </c:pt>
                <c:pt idx="2">
                  <c:v>280</c:v>
                </c:pt>
                <c:pt idx="3">
                  <c:v>270</c:v>
                </c:pt>
                <c:pt idx="4">
                  <c:v>260</c:v>
                </c:pt>
                <c:pt idx="5">
                  <c:v>215</c:v>
                </c:pt>
                <c:pt idx="6">
                  <c:v>258</c:v>
                </c:pt>
                <c:pt idx="7">
                  <c:v>250</c:v>
                </c:pt>
                <c:pt idx="8">
                  <c:v>215</c:v>
                </c:pt>
                <c:pt idx="9">
                  <c:v>280</c:v>
                </c:pt>
                <c:pt idx="10">
                  <c:v>210</c:v>
                </c:pt>
                <c:pt idx="11">
                  <c:v>250</c:v>
                </c:pt>
                <c:pt idx="12">
                  <c:v>250</c:v>
                </c:pt>
                <c:pt idx="13">
                  <c:v>225</c:v>
                </c:pt>
                <c:pt idx="14">
                  <c:v>255</c:v>
                </c:pt>
                <c:pt idx="15">
                  <c:v>255</c:v>
                </c:pt>
                <c:pt idx="16">
                  <c:v>255</c:v>
                </c:pt>
                <c:pt idx="17">
                  <c:v>140</c:v>
                </c:pt>
                <c:pt idx="18">
                  <c:v>247</c:v>
                </c:pt>
                <c:pt idx="19">
                  <c:v>160</c:v>
                </c:pt>
                <c:pt idx="20">
                  <c:v>280</c:v>
                </c:pt>
                <c:pt idx="21">
                  <c:v>260</c:v>
                </c:pt>
                <c:pt idx="22">
                  <c:v>250</c:v>
                </c:pt>
                <c:pt idx="23">
                  <c:v>250</c:v>
                </c:pt>
                <c:pt idx="24">
                  <c:v>265</c:v>
                </c:pt>
                <c:pt idx="25">
                  <c:v>280</c:v>
                </c:pt>
                <c:pt idx="26">
                  <c:v>260</c:v>
                </c:pt>
                <c:pt idx="27">
                  <c:v>265</c:v>
                </c:pt>
                <c:pt idx="28">
                  <c:v>280</c:v>
                </c:pt>
                <c:pt idx="29">
                  <c:v>225</c:v>
                </c:pt>
                <c:pt idx="30">
                  <c:v>220</c:v>
                </c:pt>
                <c:pt idx="31">
                  <c:v>265</c:v>
                </c:pt>
                <c:pt idx="32">
                  <c:v>265</c:v>
                </c:pt>
                <c:pt idx="33">
                  <c:v>295</c:v>
                </c:pt>
                <c:pt idx="34">
                  <c:v>190</c:v>
                </c:pt>
                <c:pt idx="35">
                  <c:v>320</c:v>
                </c:pt>
                <c:pt idx="36">
                  <c:v>185</c:v>
                </c:pt>
                <c:pt idx="37">
                  <c:v>300</c:v>
                </c:pt>
                <c:pt idx="38">
                  <c:v>334</c:v>
                </c:pt>
                <c:pt idx="39">
                  <c:v>247</c:v>
                </c:pt>
                <c:pt idx="40">
                  <c:v>215</c:v>
                </c:pt>
                <c:pt idx="41">
                  <c:v>310</c:v>
                </c:pt>
                <c:pt idx="42">
                  <c:v>240</c:v>
                </c:pt>
                <c:pt idx="43">
                  <c:v>280</c:v>
                </c:pt>
                <c:pt idx="44">
                  <c:v>200</c:v>
                </c:pt>
                <c:pt idx="45">
                  <c:v>310</c:v>
                </c:pt>
                <c:pt idx="46">
                  <c:v>330</c:v>
                </c:pt>
                <c:pt idx="47">
                  <c:v>185</c:v>
                </c:pt>
                <c:pt idx="48">
                  <c:v>230</c:v>
                </c:pt>
                <c:pt idx="49">
                  <c:v>180</c:v>
                </c:pt>
                <c:pt idx="50">
                  <c:v>250</c:v>
                </c:pt>
                <c:pt idx="51">
                  <c:v>310</c:v>
                </c:pt>
                <c:pt idx="52">
                  <c:v>315</c:v>
                </c:pt>
                <c:pt idx="53">
                  <c:v>270</c:v>
                </c:pt>
                <c:pt idx="54">
                  <c:v>345</c:v>
                </c:pt>
                <c:pt idx="55">
                  <c:v>345</c:v>
                </c:pt>
                <c:pt idx="56">
                  <c:v>345</c:v>
                </c:pt>
                <c:pt idx="57">
                  <c:v>345</c:v>
                </c:pt>
                <c:pt idx="58">
                  <c:v>366</c:v>
                </c:pt>
                <c:pt idx="59">
                  <c:v>330</c:v>
                </c:pt>
                <c:pt idx="60">
                  <c:v>400</c:v>
                </c:pt>
                <c:pt idx="61">
                  <c:v>231</c:v>
                </c:pt>
                <c:pt idx="62">
                  <c:v>366</c:v>
                </c:pt>
                <c:pt idx="63">
                  <c:v>366</c:v>
                </c:pt>
                <c:pt idx="64">
                  <c:v>390</c:v>
                </c:pt>
                <c:pt idx="65">
                  <c:v>325</c:v>
                </c:pt>
                <c:pt idx="66">
                  <c:v>366</c:v>
                </c:pt>
                <c:pt idx="67">
                  <c:v>366</c:v>
                </c:pt>
                <c:pt idx="68">
                  <c:v>305</c:v>
                </c:pt>
                <c:pt idx="69">
                  <c:v>366</c:v>
                </c:pt>
                <c:pt idx="70">
                  <c:v>221</c:v>
                </c:pt>
                <c:pt idx="71">
                  <c:v>335</c:v>
                </c:pt>
                <c:pt idx="72">
                  <c:v>50</c:v>
                </c:pt>
                <c:pt idx="73">
                  <c:v>100</c:v>
                </c:pt>
                <c:pt idx="74">
                  <c:v>55</c:v>
                </c:pt>
                <c:pt idx="75">
                  <c:v>83</c:v>
                </c:pt>
                <c:pt idx="76">
                  <c:v>71</c:v>
                </c:pt>
                <c:pt idx="77">
                  <c:v>54</c:v>
                </c:pt>
                <c:pt idx="78">
                  <c:v>62</c:v>
                </c:pt>
                <c:pt idx="79">
                  <c:v>51</c:v>
                </c:pt>
                <c:pt idx="80">
                  <c:v>31</c:v>
                </c:pt>
                <c:pt idx="81">
                  <c:v>89</c:v>
                </c:pt>
                <c:pt idx="82">
                  <c:v>80</c:v>
                </c:pt>
                <c:pt idx="83">
                  <c:v>110</c:v>
                </c:pt>
                <c:pt idx="84">
                  <c:v>54</c:v>
                </c:pt>
                <c:pt idx="85">
                  <c:v>42</c:v>
                </c:pt>
                <c:pt idx="86">
                  <c:v>74</c:v>
                </c:pt>
                <c:pt idx="87">
                  <c:v>99</c:v>
                </c:pt>
                <c:pt idx="88">
                  <c:v>63</c:v>
                </c:pt>
                <c:pt idx="89">
                  <c:v>96</c:v>
                </c:pt>
                <c:pt idx="90">
                  <c:v>54</c:v>
                </c:pt>
                <c:pt idx="91">
                  <c:v>75</c:v>
                </c:pt>
                <c:pt idx="92">
                  <c:v>84</c:v>
                </c:pt>
                <c:pt idx="93">
                  <c:v>65</c:v>
                </c:pt>
                <c:pt idx="94">
                  <c:v>114</c:v>
                </c:pt>
                <c:pt idx="95">
                  <c:v>55</c:v>
                </c:pt>
                <c:pt idx="96">
                  <c:v>0</c:v>
                </c:pt>
                <c:pt idx="97">
                  <c:v>54</c:v>
                </c:pt>
                <c:pt idx="98">
                  <c:v>97</c:v>
                </c:pt>
                <c:pt idx="99">
                  <c:v>62</c:v>
                </c:pt>
                <c:pt idx="100">
                  <c:v>49</c:v>
                </c:pt>
                <c:pt idx="101">
                  <c:v>1</c:v>
                </c:pt>
                <c:pt idx="102">
                  <c:v>104</c:v>
                </c:pt>
                <c:pt idx="103">
                  <c:v>76</c:v>
                </c:pt>
                <c:pt idx="104">
                  <c:v>0</c:v>
                </c:pt>
                <c:pt idx="105">
                  <c:v>108</c:v>
                </c:pt>
                <c:pt idx="106">
                  <c:v>115</c:v>
                </c:pt>
                <c:pt idx="107">
                  <c:v>86</c:v>
                </c:pt>
                <c:pt idx="108">
                  <c:v>84</c:v>
                </c:pt>
                <c:pt idx="109">
                  <c:v>87</c:v>
                </c:pt>
                <c:pt idx="110">
                  <c:v>51</c:v>
                </c:pt>
                <c:pt idx="111">
                  <c:v>109</c:v>
                </c:pt>
                <c:pt idx="112">
                  <c:v>88</c:v>
                </c:pt>
                <c:pt idx="113">
                  <c:v>74</c:v>
                </c:pt>
                <c:pt idx="114">
                  <c:v>109</c:v>
                </c:pt>
                <c:pt idx="115">
                  <c:v>73</c:v>
                </c:pt>
                <c:pt idx="116">
                  <c:v>49</c:v>
                </c:pt>
                <c:pt idx="117">
                  <c:v>69</c:v>
                </c:pt>
                <c:pt idx="118">
                  <c:v>0</c:v>
                </c:pt>
                <c:pt idx="119">
                  <c:v>66</c:v>
                </c:pt>
                <c:pt idx="120">
                  <c:v>106</c:v>
                </c:pt>
                <c:pt idx="121">
                  <c:v>32</c:v>
                </c:pt>
                <c:pt idx="122">
                  <c:v>77</c:v>
                </c:pt>
                <c:pt idx="123">
                  <c:v>75</c:v>
                </c:pt>
                <c:pt idx="124">
                  <c:v>73</c:v>
                </c:pt>
                <c:pt idx="125">
                  <c:v>77</c:v>
                </c:pt>
                <c:pt idx="126">
                  <c:v>64</c:v>
                </c:pt>
                <c:pt idx="127">
                  <c:v>109</c:v>
                </c:pt>
                <c:pt idx="128">
                  <c:v>52</c:v>
                </c:pt>
                <c:pt idx="129">
                  <c:v>55</c:v>
                </c:pt>
                <c:pt idx="130">
                  <c:v>83</c:v>
                </c:pt>
                <c:pt idx="131">
                  <c:v>51</c:v>
                </c:pt>
                <c:pt idx="132">
                  <c:v>54</c:v>
                </c:pt>
                <c:pt idx="133">
                  <c:v>99</c:v>
                </c:pt>
                <c:pt idx="134">
                  <c:v>54</c:v>
                </c:pt>
                <c:pt idx="135">
                  <c:v>1</c:v>
                </c:pt>
                <c:pt idx="136">
                  <c:v>104</c:v>
                </c:pt>
                <c:pt idx="137">
                  <c:v>109</c:v>
                </c:pt>
                <c:pt idx="138">
                  <c:v>52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50</c:v>
                </c:pt>
                <c:pt idx="143">
                  <c:v>100</c:v>
                </c:pt>
                <c:pt idx="144">
                  <c:v>55</c:v>
                </c:pt>
                <c:pt idx="145">
                  <c:v>71</c:v>
                </c:pt>
                <c:pt idx="146">
                  <c:v>54</c:v>
                </c:pt>
                <c:pt idx="147">
                  <c:v>62</c:v>
                </c:pt>
                <c:pt idx="148">
                  <c:v>31</c:v>
                </c:pt>
                <c:pt idx="149">
                  <c:v>89</c:v>
                </c:pt>
                <c:pt idx="150">
                  <c:v>80</c:v>
                </c:pt>
                <c:pt idx="151">
                  <c:v>110</c:v>
                </c:pt>
                <c:pt idx="152">
                  <c:v>42</c:v>
                </c:pt>
                <c:pt idx="153">
                  <c:v>74</c:v>
                </c:pt>
                <c:pt idx="154">
                  <c:v>63</c:v>
                </c:pt>
                <c:pt idx="155">
                  <c:v>96</c:v>
                </c:pt>
                <c:pt idx="156">
                  <c:v>54</c:v>
                </c:pt>
                <c:pt idx="157">
                  <c:v>75</c:v>
                </c:pt>
                <c:pt idx="158">
                  <c:v>84</c:v>
                </c:pt>
                <c:pt idx="159">
                  <c:v>65</c:v>
                </c:pt>
                <c:pt idx="160">
                  <c:v>114</c:v>
                </c:pt>
                <c:pt idx="161">
                  <c:v>55</c:v>
                </c:pt>
                <c:pt idx="162">
                  <c:v>62</c:v>
                </c:pt>
                <c:pt idx="163">
                  <c:v>49</c:v>
                </c:pt>
                <c:pt idx="164">
                  <c:v>76</c:v>
                </c:pt>
                <c:pt idx="165">
                  <c:v>115</c:v>
                </c:pt>
                <c:pt idx="166">
                  <c:v>86</c:v>
                </c:pt>
                <c:pt idx="167">
                  <c:v>84</c:v>
                </c:pt>
                <c:pt idx="168">
                  <c:v>87</c:v>
                </c:pt>
                <c:pt idx="169">
                  <c:v>51</c:v>
                </c:pt>
                <c:pt idx="170">
                  <c:v>109</c:v>
                </c:pt>
                <c:pt idx="171">
                  <c:v>88</c:v>
                </c:pt>
                <c:pt idx="172">
                  <c:v>109</c:v>
                </c:pt>
                <c:pt idx="173">
                  <c:v>73</c:v>
                </c:pt>
                <c:pt idx="174">
                  <c:v>49</c:v>
                </c:pt>
                <c:pt idx="175">
                  <c:v>69</c:v>
                </c:pt>
                <c:pt idx="176">
                  <c:v>66</c:v>
                </c:pt>
                <c:pt idx="177">
                  <c:v>106</c:v>
                </c:pt>
                <c:pt idx="178">
                  <c:v>32</c:v>
                </c:pt>
                <c:pt idx="179">
                  <c:v>77</c:v>
                </c:pt>
                <c:pt idx="180">
                  <c:v>75</c:v>
                </c:pt>
                <c:pt idx="181">
                  <c:v>73</c:v>
                </c:pt>
                <c:pt idx="182">
                  <c:v>77</c:v>
                </c:pt>
                <c:pt idx="183">
                  <c:v>64</c:v>
                </c:pt>
                <c:pt idx="184">
                  <c:v>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2-4C3E-86AB-146CE4F03F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Дебит жидкости скважины, м3/сут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Master!$AA$3:$AA$187</c:f>
              <c:numCache>
                <c:formatCode>0.00</c:formatCode>
                <c:ptCount val="185"/>
                <c:pt idx="0">
                  <c:v>55.158999999999999</c:v>
                </c:pt>
                <c:pt idx="1">
                  <c:v>131.84899999999999</c:v>
                </c:pt>
                <c:pt idx="2">
                  <c:v>39.957000000000001</c:v>
                </c:pt>
                <c:pt idx="3">
                  <c:v>52.427999999999997</c:v>
                </c:pt>
                <c:pt idx="4">
                  <c:v>57.533000000000001</c:v>
                </c:pt>
                <c:pt idx="5">
                  <c:v>64.39</c:v>
                </c:pt>
                <c:pt idx="6">
                  <c:v>44.063000000000002</c:v>
                </c:pt>
                <c:pt idx="7">
                  <c:v>27.548999999999999</c:v>
                </c:pt>
                <c:pt idx="8">
                  <c:v>29.661000000000001</c:v>
                </c:pt>
                <c:pt idx="9">
                  <c:v>66.453000000000003</c:v>
                </c:pt>
                <c:pt idx="10">
                  <c:v>36.253999999999998</c:v>
                </c:pt>
                <c:pt idx="11">
                  <c:v>69.412999999999997</c:v>
                </c:pt>
                <c:pt idx="12">
                  <c:v>52.228000000000002</c:v>
                </c:pt>
                <c:pt idx="13">
                  <c:v>92.622</c:v>
                </c:pt>
                <c:pt idx="14">
                  <c:v>41.735999999999997</c:v>
                </c:pt>
                <c:pt idx="15">
                  <c:v>62.072000000000003</c:v>
                </c:pt>
                <c:pt idx="16">
                  <c:v>52.201999999999998</c:v>
                </c:pt>
                <c:pt idx="17">
                  <c:v>63.645000000000003</c:v>
                </c:pt>
                <c:pt idx="18">
                  <c:v>91.807000000000002</c:v>
                </c:pt>
                <c:pt idx="19">
                  <c:v>46.978000000000002</c:v>
                </c:pt>
                <c:pt idx="20">
                  <c:v>82.096000000000004</c:v>
                </c:pt>
                <c:pt idx="21">
                  <c:v>71.025000000000006</c:v>
                </c:pt>
                <c:pt idx="22">
                  <c:v>64.734999999999999</c:v>
                </c:pt>
                <c:pt idx="23">
                  <c:v>51.658000000000001</c:v>
                </c:pt>
                <c:pt idx="24">
                  <c:v>82.346000000000004</c:v>
                </c:pt>
                <c:pt idx="25">
                  <c:v>104.504</c:v>
                </c:pt>
                <c:pt idx="26">
                  <c:v>88.63</c:v>
                </c:pt>
                <c:pt idx="27">
                  <c:v>106.845</c:v>
                </c:pt>
                <c:pt idx="28">
                  <c:v>87.417000000000002</c:v>
                </c:pt>
                <c:pt idx="29">
                  <c:v>81.706000000000003</c:v>
                </c:pt>
                <c:pt idx="30">
                  <c:v>82.311000000000007</c:v>
                </c:pt>
                <c:pt idx="31">
                  <c:v>54.475999999999999</c:v>
                </c:pt>
                <c:pt idx="32">
                  <c:v>62.767000000000003</c:v>
                </c:pt>
                <c:pt idx="33">
                  <c:v>63.98</c:v>
                </c:pt>
                <c:pt idx="34">
                  <c:v>80.968999999999994</c:v>
                </c:pt>
                <c:pt idx="35">
                  <c:v>97.424999999999997</c:v>
                </c:pt>
                <c:pt idx="36">
                  <c:v>76.290000000000006</c:v>
                </c:pt>
                <c:pt idx="37">
                  <c:v>87.123999999999995</c:v>
                </c:pt>
                <c:pt idx="38">
                  <c:v>100.764</c:v>
                </c:pt>
                <c:pt idx="39">
                  <c:v>59.029000000000003</c:v>
                </c:pt>
                <c:pt idx="40">
                  <c:v>90.481999999999999</c:v>
                </c:pt>
                <c:pt idx="41">
                  <c:v>68.653000000000006</c:v>
                </c:pt>
                <c:pt idx="42">
                  <c:v>116.339</c:v>
                </c:pt>
                <c:pt idx="43">
                  <c:v>95.710999999999999</c:v>
                </c:pt>
                <c:pt idx="44">
                  <c:v>105.89700000000001</c:v>
                </c:pt>
                <c:pt idx="45">
                  <c:v>129.25399999999999</c:v>
                </c:pt>
                <c:pt idx="46">
                  <c:v>110.789</c:v>
                </c:pt>
                <c:pt idx="47">
                  <c:v>130.50800000000001</c:v>
                </c:pt>
                <c:pt idx="48">
                  <c:v>104.977</c:v>
                </c:pt>
                <c:pt idx="49">
                  <c:v>125.167</c:v>
                </c:pt>
                <c:pt idx="50">
                  <c:v>22.963000000000001</c:v>
                </c:pt>
                <c:pt idx="51">
                  <c:v>48.031999999999996</c:v>
                </c:pt>
                <c:pt idx="52">
                  <c:v>75.227999999999994</c:v>
                </c:pt>
                <c:pt idx="53">
                  <c:v>36.194000000000003</c:v>
                </c:pt>
                <c:pt idx="54">
                  <c:v>102.85599999999999</c:v>
                </c:pt>
                <c:pt idx="55">
                  <c:v>97.5</c:v>
                </c:pt>
                <c:pt idx="56">
                  <c:v>50.673999999999999</c:v>
                </c:pt>
                <c:pt idx="57">
                  <c:v>65.064999999999998</c:v>
                </c:pt>
                <c:pt idx="58">
                  <c:v>61.997</c:v>
                </c:pt>
                <c:pt idx="59">
                  <c:v>40.567999999999998</c:v>
                </c:pt>
                <c:pt idx="60">
                  <c:v>147.923</c:v>
                </c:pt>
                <c:pt idx="61">
                  <c:v>89.474999999999994</c:v>
                </c:pt>
                <c:pt idx="62">
                  <c:v>105.896</c:v>
                </c:pt>
                <c:pt idx="63">
                  <c:v>85.585999999999999</c:v>
                </c:pt>
                <c:pt idx="64">
                  <c:v>68.709000000000003</c:v>
                </c:pt>
                <c:pt idx="65">
                  <c:v>82.754999999999995</c:v>
                </c:pt>
                <c:pt idx="66">
                  <c:v>64.591999999999999</c:v>
                </c:pt>
                <c:pt idx="67">
                  <c:v>61.378</c:v>
                </c:pt>
                <c:pt idx="68">
                  <c:v>73.492000000000004</c:v>
                </c:pt>
                <c:pt idx="69">
                  <c:v>63.250999999999998</c:v>
                </c:pt>
                <c:pt idx="70">
                  <c:v>60.378</c:v>
                </c:pt>
                <c:pt idx="71">
                  <c:v>70.852999999999994</c:v>
                </c:pt>
                <c:pt idx="72">
                  <c:v>53.55</c:v>
                </c:pt>
                <c:pt idx="73">
                  <c:v>15.802</c:v>
                </c:pt>
                <c:pt idx="74">
                  <c:v>137.322</c:v>
                </c:pt>
                <c:pt idx="75">
                  <c:v>74.263999999999996</c:v>
                </c:pt>
                <c:pt idx="76">
                  <c:v>65.114000000000004</c:v>
                </c:pt>
                <c:pt idx="77">
                  <c:v>33.375999999999998</c:v>
                </c:pt>
                <c:pt idx="78">
                  <c:v>41.317999999999998</c:v>
                </c:pt>
                <c:pt idx="79">
                  <c:v>9.1969999999999992</c:v>
                </c:pt>
                <c:pt idx="80">
                  <c:v>43.326000000000001</c:v>
                </c:pt>
                <c:pt idx="81">
                  <c:v>74.39</c:v>
                </c:pt>
                <c:pt idx="82">
                  <c:v>132.749</c:v>
                </c:pt>
                <c:pt idx="83">
                  <c:v>25.661000000000001</c:v>
                </c:pt>
                <c:pt idx="84">
                  <c:v>155.76400000000001</c:v>
                </c:pt>
                <c:pt idx="85">
                  <c:v>67.215000000000003</c:v>
                </c:pt>
                <c:pt idx="86">
                  <c:v>22.873000000000001</c:v>
                </c:pt>
                <c:pt idx="87">
                  <c:v>21.030999999999999</c:v>
                </c:pt>
                <c:pt idx="88">
                  <c:v>96.254999999999995</c:v>
                </c:pt>
                <c:pt idx="89">
                  <c:v>34.765999999999998</c:v>
                </c:pt>
                <c:pt idx="90">
                  <c:v>50.927999999999997</c:v>
                </c:pt>
                <c:pt idx="91">
                  <c:v>75.986999999999995</c:v>
                </c:pt>
                <c:pt idx="92">
                  <c:v>20.556000000000001</c:v>
                </c:pt>
                <c:pt idx="93">
                  <c:v>17.385999999999999</c:v>
                </c:pt>
                <c:pt idx="94">
                  <c:v>24.940999999999999</c:v>
                </c:pt>
                <c:pt idx="95">
                  <c:v>87.724000000000004</c:v>
                </c:pt>
                <c:pt idx="96">
                  <c:v>11.42</c:v>
                </c:pt>
                <c:pt idx="97">
                  <c:v>67.581000000000003</c:v>
                </c:pt>
                <c:pt idx="98">
                  <c:v>16.135000000000002</c:v>
                </c:pt>
                <c:pt idx="99">
                  <c:v>111.973</c:v>
                </c:pt>
                <c:pt idx="100">
                  <c:v>65.772000000000006</c:v>
                </c:pt>
                <c:pt idx="101">
                  <c:v>174.541</c:v>
                </c:pt>
                <c:pt idx="102">
                  <c:v>19.061</c:v>
                </c:pt>
                <c:pt idx="103">
                  <c:v>33.628999999999998</c:v>
                </c:pt>
                <c:pt idx="104">
                  <c:v>39.29</c:v>
                </c:pt>
                <c:pt idx="105">
                  <c:v>50.213999999999999</c:v>
                </c:pt>
                <c:pt idx="106">
                  <c:v>25.78</c:v>
                </c:pt>
                <c:pt idx="107">
                  <c:v>108.813</c:v>
                </c:pt>
                <c:pt idx="108">
                  <c:v>20.890999999999998</c:v>
                </c:pt>
                <c:pt idx="109">
                  <c:v>96.727999999999994</c:v>
                </c:pt>
                <c:pt idx="110">
                  <c:v>41.613</c:v>
                </c:pt>
                <c:pt idx="111">
                  <c:v>126.303</c:v>
                </c:pt>
                <c:pt idx="112">
                  <c:v>51.203000000000003</c:v>
                </c:pt>
                <c:pt idx="113">
                  <c:v>212.905</c:v>
                </c:pt>
                <c:pt idx="114">
                  <c:v>103.563</c:v>
                </c:pt>
                <c:pt idx="115">
                  <c:v>144.28100000000001</c:v>
                </c:pt>
                <c:pt idx="116">
                  <c:v>240.89099999999999</c:v>
                </c:pt>
                <c:pt idx="117">
                  <c:v>298.54399999999998</c:v>
                </c:pt>
                <c:pt idx="118">
                  <c:v>109.94499999999999</c:v>
                </c:pt>
                <c:pt idx="119">
                  <c:v>157.08699999999999</c:v>
                </c:pt>
                <c:pt idx="120">
                  <c:v>140.136</c:v>
                </c:pt>
                <c:pt idx="121">
                  <c:v>87.989000000000004</c:v>
                </c:pt>
                <c:pt idx="122">
                  <c:v>59.249000000000002</c:v>
                </c:pt>
                <c:pt idx="123">
                  <c:v>26.038</c:v>
                </c:pt>
                <c:pt idx="124">
                  <c:v>108.003</c:v>
                </c:pt>
                <c:pt idx="125">
                  <c:v>29.443999999999999</c:v>
                </c:pt>
                <c:pt idx="126">
                  <c:v>64.120999999999995</c:v>
                </c:pt>
                <c:pt idx="127">
                  <c:v>9.5180000000000007</c:v>
                </c:pt>
                <c:pt idx="128">
                  <c:v>13.478999999999999</c:v>
                </c:pt>
                <c:pt idx="129">
                  <c:v>43.485999999999997</c:v>
                </c:pt>
                <c:pt idx="130">
                  <c:v>74.263999999999996</c:v>
                </c:pt>
                <c:pt idx="131">
                  <c:v>9.1969999999999992</c:v>
                </c:pt>
                <c:pt idx="132">
                  <c:v>155.76400000000001</c:v>
                </c:pt>
                <c:pt idx="133">
                  <c:v>21.030999999999999</c:v>
                </c:pt>
                <c:pt idx="134">
                  <c:v>67.581000000000003</c:v>
                </c:pt>
                <c:pt idx="135">
                  <c:v>174.541</c:v>
                </c:pt>
                <c:pt idx="136">
                  <c:v>19.061</c:v>
                </c:pt>
                <c:pt idx="137">
                  <c:v>9.5180000000000007</c:v>
                </c:pt>
                <c:pt idx="138">
                  <c:v>13.478999999999999</c:v>
                </c:pt>
                <c:pt idx="139">
                  <c:v>11.42</c:v>
                </c:pt>
                <c:pt idx="140">
                  <c:v>39.29</c:v>
                </c:pt>
                <c:pt idx="141">
                  <c:v>109.94499999999999</c:v>
                </c:pt>
                <c:pt idx="142">
                  <c:v>53.55</c:v>
                </c:pt>
                <c:pt idx="143">
                  <c:v>15.802</c:v>
                </c:pt>
                <c:pt idx="144">
                  <c:v>137.322</c:v>
                </c:pt>
                <c:pt idx="145">
                  <c:v>65.114000000000004</c:v>
                </c:pt>
                <c:pt idx="146">
                  <c:v>33.375999999999998</c:v>
                </c:pt>
                <c:pt idx="147">
                  <c:v>41.317999999999998</c:v>
                </c:pt>
                <c:pt idx="148">
                  <c:v>43.326000000000001</c:v>
                </c:pt>
                <c:pt idx="149">
                  <c:v>74.39</c:v>
                </c:pt>
                <c:pt idx="150">
                  <c:v>132.749</c:v>
                </c:pt>
                <c:pt idx="151">
                  <c:v>25.661000000000001</c:v>
                </c:pt>
                <c:pt idx="152">
                  <c:v>67.215000000000003</c:v>
                </c:pt>
                <c:pt idx="153">
                  <c:v>22.873000000000001</c:v>
                </c:pt>
                <c:pt idx="154">
                  <c:v>96.254999999999995</c:v>
                </c:pt>
                <c:pt idx="155">
                  <c:v>34.765999999999998</c:v>
                </c:pt>
                <c:pt idx="156">
                  <c:v>50.927999999999997</c:v>
                </c:pt>
                <c:pt idx="157">
                  <c:v>75.986999999999995</c:v>
                </c:pt>
                <c:pt idx="158">
                  <c:v>20.556000000000001</c:v>
                </c:pt>
                <c:pt idx="159">
                  <c:v>17.385999999999999</c:v>
                </c:pt>
                <c:pt idx="160">
                  <c:v>24.940999999999999</c:v>
                </c:pt>
                <c:pt idx="161">
                  <c:v>87.724000000000004</c:v>
                </c:pt>
                <c:pt idx="162">
                  <c:v>111.973</c:v>
                </c:pt>
                <c:pt idx="163">
                  <c:v>65.772000000000006</c:v>
                </c:pt>
                <c:pt idx="164">
                  <c:v>33.628999999999998</c:v>
                </c:pt>
                <c:pt idx="165">
                  <c:v>25.78</c:v>
                </c:pt>
                <c:pt idx="166">
                  <c:v>108.813</c:v>
                </c:pt>
                <c:pt idx="167">
                  <c:v>20.890999999999998</c:v>
                </c:pt>
                <c:pt idx="168">
                  <c:v>96.727999999999994</c:v>
                </c:pt>
                <c:pt idx="169">
                  <c:v>41.613</c:v>
                </c:pt>
                <c:pt idx="170">
                  <c:v>126.303</c:v>
                </c:pt>
                <c:pt idx="171">
                  <c:v>51.203000000000003</c:v>
                </c:pt>
                <c:pt idx="172">
                  <c:v>103.563</c:v>
                </c:pt>
                <c:pt idx="173">
                  <c:v>144.28100000000001</c:v>
                </c:pt>
                <c:pt idx="174">
                  <c:v>240.89099999999999</c:v>
                </c:pt>
                <c:pt idx="175">
                  <c:v>298.54399999999998</c:v>
                </c:pt>
                <c:pt idx="176">
                  <c:v>157.08699999999999</c:v>
                </c:pt>
                <c:pt idx="177">
                  <c:v>140.136</c:v>
                </c:pt>
                <c:pt idx="178">
                  <c:v>87.989000000000004</c:v>
                </c:pt>
                <c:pt idx="179">
                  <c:v>59.249000000000002</c:v>
                </c:pt>
                <c:pt idx="180">
                  <c:v>26.038</c:v>
                </c:pt>
                <c:pt idx="181">
                  <c:v>108.003</c:v>
                </c:pt>
                <c:pt idx="182">
                  <c:v>29.443999999999999</c:v>
                </c:pt>
                <c:pt idx="183">
                  <c:v>64.120999999999995</c:v>
                </c:pt>
                <c:pt idx="184">
                  <c:v>43.485999999999997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EE-4D37-804E-FF17ADD29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Дебит нефти скважины, м3/сут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Master!$AC$3:$AC$187</c:f>
              <c:numCache>
                <c:formatCode>0.00</c:formatCode>
                <c:ptCount val="185"/>
                <c:pt idx="0">
                  <c:v>51.655000000000001</c:v>
                </c:pt>
                <c:pt idx="1">
                  <c:v>94.090999999999994</c:v>
                </c:pt>
                <c:pt idx="2">
                  <c:v>24.562999999999999</c:v>
                </c:pt>
                <c:pt idx="3">
                  <c:v>44.103000000000002</c:v>
                </c:pt>
                <c:pt idx="4">
                  <c:v>44.581000000000003</c:v>
                </c:pt>
                <c:pt idx="5">
                  <c:v>49.850999999999999</c:v>
                </c:pt>
                <c:pt idx="6">
                  <c:v>25.088999999999999</c:v>
                </c:pt>
                <c:pt idx="7">
                  <c:v>24.584</c:v>
                </c:pt>
                <c:pt idx="8">
                  <c:v>18.629000000000001</c:v>
                </c:pt>
                <c:pt idx="9">
                  <c:v>48.682000000000002</c:v>
                </c:pt>
                <c:pt idx="10">
                  <c:v>27.335999999999999</c:v>
                </c:pt>
                <c:pt idx="11">
                  <c:v>51.42</c:v>
                </c:pt>
                <c:pt idx="12">
                  <c:v>30.466999999999999</c:v>
                </c:pt>
                <c:pt idx="13">
                  <c:v>51.21</c:v>
                </c:pt>
                <c:pt idx="14">
                  <c:v>34.356999999999999</c:v>
                </c:pt>
                <c:pt idx="15">
                  <c:v>56.356999999999999</c:v>
                </c:pt>
                <c:pt idx="16">
                  <c:v>46.783999999999999</c:v>
                </c:pt>
                <c:pt idx="17">
                  <c:v>57.793999999999997</c:v>
                </c:pt>
                <c:pt idx="18">
                  <c:v>68.287999999999997</c:v>
                </c:pt>
                <c:pt idx="19">
                  <c:v>7.8159999999999998</c:v>
                </c:pt>
                <c:pt idx="20">
                  <c:v>76.936000000000007</c:v>
                </c:pt>
                <c:pt idx="21">
                  <c:v>67.147999999999996</c:v>
                </c:pt>
                <c:pt idx="22">
                  <c:v>52.213000000000001</c:v>
                </c:pt>
                <c:pt idx="23">
                  <c:v>25.971</c:v>
                </c:pt>
                <c:pt idx="24">
                  <c:v>63.28</c:v>
                </c:pt>
                <c:pt idx="25">
                  <c:v>76.174000000000007</c:v>
                </c:pt>
                <c:pt idx="26">
                  <c:v>83.671000000000006</c:v>
                </c:pt>
                <c:pt idx="27">
                  <c:v>102.273</c:v>
                </c:pt>
                <c:pt idx="28">
                  <c:v>68.864000000000004</c:v>
                </c:pt>
                <c:pt idx="29">
                  <c:v>78.081999999999994</c:v>
                </c:pt>
                <c:pt idx="30">
                  <c:v>75.242000000000004</c:v>
                </c:pt>
                <c:pt idx="31">
                  <c:v>43.128999999999998</c:v>
                </c:pt>
                <c:pt idx="32">
                  <c:v>49.904000000000003</c:v>
                </c:pt>
                <c:pt idx="33">
                  <c:v>45.247</c:v>
                </c:pt>
                <c:pt idx="34">
                  <c:v>62.677</c:v>
                </c:pt>
                <c:pt idx="35">
                  <c:v>76.513999999999996</c:v>
                </c:pt>
                <c:pt idx="36">
                  <c:v>58.551000000000002</c:v>
                </c:pt>
                <c:pt idx="37">
                  <c:v>77.734999999999999</c:v>
                </c:pt>
                <c:pt idx="38">
                  <c:v>90.384</c:v>
                </c:pt>
                <c:pt idx="39">
                  <c:v>54.008000000000003</c:v>
                </c:pt>
                <c:pt idx="40">
                  <c:v>86.501000000000005</c:v>
                </c:pt>
                <c:pt idx="41">
                  <c:v>59.954999999999998</c:v>
                </c:pt>
                <c:pt idx="42">
                  <c:v>106.211</c:v>
                </c:pt>
                <c:pt idx="43">
                  <c:v>76.748000000000005</c:v>
                </c:pt>
                <c:pt idx="44">
                  <c:v>99.986999999999995</c:v>
                </c:pt>
                <c:pt idx="45">
                  <c:v>123.16</c:v>
                </c:pt>
                <c:pt idx="46">
                  <c:v>103.512</c:v>
                </c:pt>
                <c:pt idx="47">
                  <c:v>89.025999999999996</c:v>
                </c:pt>
                <c:pt idx="48">
                  <c:v>86.552999999999997</c:v>
                </c:pt>
                <c:pt idx="49">
                  <c:v>111.577</c:v>
                </c:pt>
                <c:pt idx="50">
                  <c:v>17.145</c:v>
                </c:pt>
                <c:pt idx="51">
                  <c:v>42.406999999999996</c:v>
                </c:pt>
                <c:pt idx="52">
                  <c:v>65.206000000000003</c:v>
                </c:pt>
                <c:pt idx="53">
                  <c:v>27.024999999999999</c:v>
                </c:pt>
                <c:pt idx="54">
                  <c:v>56.247999999999998</c:v>
                </c:pt>
                <c:pt idx="55">
                  <c:v>42.67</c:v>
                </c:pt>
                <c:pt idx="56">
                  <c:v>38.896000000000001</c:v>
                </c:pt>
                <c:pt idx="57">
                  <c:v>36.631</c:v>
                </c:pt>
                <c:pt idx="58">
                  <c:v>47.353999999999999</c:v>
                </c:pt>
                <c:pt idx="59">
                  <c:v>32.21</c:v>
                </c:pt>
                <c:pt idx="60">
                  <c:v>88.028000000000006</c:v>
                </c:pt>
                <c:pt idx="61">
                  <c:v>65.408000000000001</c:v>
                </c:pt>
                <c:pt idx="62">
                  <c:v>81.012</c:v>
                </c:pt>
                <c:pt idx="63">
                  <c:v>57.953000000000003</c:v>
                </c:pt>
                <c:pt idx="64">
                  <c:v>27.946000000000002</c:v>
                </c:pt>
                <c:pt idx="65">
                  <c:v>25.228000000000002</c:v>
                </c:pt>
                <c:pt idx="66">
                  <c:v>24.983000000000001</c:v>
                </c:pt>
                <c:pt idx="67">
                  <c:v>24.321999999999999</c:v>
                </c:pt>
                <c:pt idx="68">
                  <c:v>31.050999999999998</c:v>
                </c:pt>
                <c:pt idx="69">
                  <c:v>41.552999999999997</c:v>
                </c:pt>
                <c:pt idx="70">
                  <c:v>32.671999999999997</c:v>
                </c:pt>
                <c:pt idx="71">
                  <c:v>34.404000000000003</c:v>
                </c:pt>
                <c:pt idx="72">
                  <c:v>21.864000000000001</c:v>
                </c:pt>
                <c:pt idx="73">
                  <c:v>12.843</c:v>
                </c:pt>
                <c:pt idx="74">
                  <c:v>32.054000000000002</c:v>
                </c:pt>
                <c:pt idx="75">
                  <c:v>9.9710000000000001</c:v>
                </c:pt>
                <c:pt idx="76">
                  <c:v>20.933</c:v>
                </c:pt>
                <c:pt idx="77">
                  <c:v>14.574</c:v>
                </c:pt>
                <c:pt idx="78">
                  <c:v>3.665</c:v>
                </c:pt>
                <c:pt idx="79">
                  <c:v>8.0079999999999991</c:v>
                </c:pt>
                <c:pt idx="80">
                  <c:v>33.582999999999998</c:v>
                </c:pt>
                <c:pt idx="81">
                  <c:v>42.036999999999999</c:v>
                </c:pt>
                <c:pt idx="82">
                  <c:v>42.877000000000002</c:v>
                </c:pt>
                <c:pt idx="83">
                  <c:v>4.9050000000000002</c:v>
                </c:pt>
                <c:pt idx="84">
                  <c:v>50.914000000000001</c:v>
                </c:pt>
                <c:pt idx="85">
                  <c:v>14.561</c:v>
                </c:pt>
                <c:pt idx="86">
                  <c:v>17.529</c:v>
                </c:pt>
                <c:pt idx="87">
                  <c:v>6.3049999999999997</c:v>
                </c:pt>
                <c:pt idx="88">
                  <c:v>45.454999999999998</c:v>
                </c:pt>
                <c:pt idx="89">
                  <c:v>18.919</c:v>
                </c:pt>
                <c:pt idx="90">
                  <c:v>15.417</c:v>
                </c:pt>
                <c:pt idx="91">
                  <c:v>18.495000000000001</c:v>
                </c:pt>
                <c:pt idx="92">
                  <c:v>6.1470000000000002</c:v>
                </c:pt>
                <c:pt idx="93">
                  <c:v>13.582000000000001</c:v>
                </c:pt>
                <c:pt idx="94">
                  <c:v>19.356999999999999</c:v>
                </c:pt>
                <c:pt idx="95">
                  <c:v>27.88</c:v>
                </c:pt>
                <c:pt idx="96">
                  <c:v>4.9020000000000001</c:v>
                </c:pt>
                <c:pt idx="97">
                  <c:v>4.6340000000000003</c:v>
                </c:pt>
                <c:pt idx="98">
                  <c:v>14.263999999999999</c:v>
                </c:pt>
                <c:pt idx="99">
                  <c:v>55.054000000000002</c:v>
                </c:pt>
                <c:pt idx="100">
                  <c:v>7.47</c:v>
                </c:pt>
                <c:pt idx="101">
                  <c:v>7.1999999999999995E-2</c:v>
                </c:pt>
                <c:pt idx="102">
                  <c:v>10.816000000000001</c:v>
                </c:pt>
                <c:pt idx="103">
                  <c:v>18.663</c:v>
                </c:pt>
                <c:pt idx="104">
                  <c:v>31.132999999999999</c:v>
                </c:pt>
                <c:pt idx="105">
                  <c:v>37.171999999999997</c:v>
                </c:pt>
                <c:pt idx="106">
                  <c:v>20.192</c:v>
                </c:pt>
                <c:pt idx="107">
                  <c:v>43.259</c:v>
                </c:pt>
                <c:pt idx="108">
                  <c:v>17.428999999999998</c:v>
                </c:pt>
                <c:pt idx="109">
                  <c:v>45.222999999999999</c:v>
                </c:pt>
                <c:pt idx="110">
                  <c:v>12.193</c:v>
                </c:pt>
                <c:pt idx="111">
                  <c:v>17.481999999999999</c:v>
                </c:pt>
                <c:pt idx="112">
                  <c:v>14.819000000000001</c:v>
                </c:pt>
                <c:pt idx="113">
                  <c:v>30.995999999999999</c:v>
                </c:pt>
                <c:pt idx="114">
                  <c:v>22.317</c:v>
                </c:pt>
                <c:pt idx="115">
                  <c:v>35.052999999999997</c:v>
                </c:pt>
                <c:pt idx="116">
                  <c:v>59.067</c:v>
                </c:pt>
                <c:pt idx="117">
                  <c:v>36.529000000000003</c:v>
                </c:pt>
                <c:pt idx="118">
                  <c:v>22.498000000000001</c:v>
                </c:pt>
                <c:pt idx="119">
                  <c:v>13.241</c:v>
                </c:pt>
                <c:pt idx="120">
                  <c:v>26.725000000000001</c:v>
                </c:pt>
                <c:pt idx="121">
                  <c:v>7.3559999999999999</c:v>
                </c:pt>
                <c:pt idx="122">
                  <c:v>16.016999999999999</c:v>
                </c:pt>
                <c:pt idx="123">
                  <c:v>11.792999999999999</c:v>
                </c:pt>
                <c:pt idx="124">
                  <c:v>28.756</c:v>
                </c:pt>
                <c:pt idx="125">
                  <c:v>25.393999999999998</c:v>
                </c:pt>
                <c:pt idx="126">
                  <c:v>21.952999999999999</c:v>
                </c:pt>
                <c:pt idx="127">
                  <c:v>3.456</c:v>
                </c:pt>
                <c:pt idx="128">
                  <c:v>7.39</c:v>
                </c:pt>
                <c:pt idx="129">
                  <c:v>30.359000000000002</c:v>
                </c:pt>
                <c:pt idx="130">
                  <c:v>9.9710000000000001</c:v>
                </c:pt>
                <c:pt idx="131">
                  <c:v>8.0079999999999991</c:v>
                </c:pt>
                <c:pt idx="132">
                  <c:v>50.914000000000001</c:v>
                </c:pt>
                <c:pt idx="133">
                  <c:v>6.3049999999999997</c:v>
                </c:pt>
                <c:pt idx="134">
                  <c:v>4.6340000000000003</c:v>
                </c:pt>
                <c:pt idx="135">
                  <c:v>7.1999999999999995E-2</c:v>
                </c:pt>
                <c:pt idx="136">
                  <c:v>10.816000000000001</c:v>
                </c:pt>
                <c:pt idx="137">
                  <c:v>3.456</c:v>
                </c:pt>
                <c:pt idx="138">
                  <c:v>7.39</c:v>
                </c:pt>
                <c:pt idx="139">
                  <c:v>4.9020000000000001</c:v>
                </c:pt>
                <c:pt idx="140">
                  <c:v>31.132999999999999</c:v>
                </c:pt>
                <c:pt idx="141">
                  <c:v>22.498000000000001</c:v>
                </c:pt>
                <c:pt idx="142">
                  <c:v>21.864000000000001</c:v>
                </c:pt>
                <c:pt idx="143">
                  <c:v>12.843</c:v>
                </c:pt>
                <c:pt idx="144">
                  <c:v>32.054000000000002</c:v>
                </c:pt>
                <c:pt idx="145">
                  <c:v>20.933</c:v>
                </c:pt>
                <c:pt idx="146">
                  <c:v>14.574</c:v>
                </c:pt>
                <c:pt idx="147">
                  <c:v>3.665</c:v>
                </c:pt>
                <c:pt idx="148">
                  <c:v>33.582999999999998</c:v>
                </c:pt>
                <c:pt idx="149">
                  <c:v>42.036999999999999</c:v>
                </c:pt>
                <c:pt idx="150">
                  <c:v>42.877000000000002</c:v>
                </c:pt>
                <c:pt idx="151">
                  <c:v>4.9050000000000002</c:v>
                </c:pt>
                <c:pt idx="152">
                  <c:v>14.561</c:v>
                </c:pt>
                <c:pt idx="153">
                  <c:v>17.529</c:v>
                </c:pt>
                <c:pt idx="154">
                  <c:v>45.454999999999998</c:v>
                </c:pt>
                <c:pt idx="155">
                  <c:v>18.919</c:v>
                </c:pt>
                <c:pt idx="156">
                  <c:v>15.417</c:v>
                </c:pt>
                <c:pt idx="157">
                  <c:v>18.495000000000001</c:v>
                </c:pt>
                <c:pt idx="158">
                  <c:v>6.1470000000000002</c:v>
                </c:pt>
                <c:pt idx="159">
                  <c:v>13.582000000000001</c:v>
                </c:pt>
                <c:pt idx="160">
                  <c:v>19.356999999999999</c:v>
                </c:pt>
                <c:pt idx="161">
                  <c:v>27.88</c:v>
                </c:pt>
                <c:pt idx="162">
                  <c:v>55.054000000000002</c:v>
                </c:pt>
                <c:pt idx="163">
                  <c:v>7.47</c:v>
                </c:pt>
                <c:pt idx="164">
                  <c:v>18.663</c:v>
                </c:pt>
                <c:pt idx="165">
                  <c:v>20.192</c:v>
                </c:pt>
                <c:pt idx="166">
                  <c:v>43.259</c:v>
                </c:pt>
                <c:pt idx="167">
                  <c:v>17.428999999999998</c:v>
                </c:pt>
                <c:pt idx="168">
                  <c:v>45.222999999999999</c:v>
                </c:pt>
                <c:pt idx="169">
                  <c:v>12.193</c:v>
                </c:pt>
                <c:pt idx="170">
                  <c:v>17.481999999999999</c:v>
                </c:pt>
                <c:pt idx="171">
                  <c:v>14.819000000000001</c:v>
                </c:pt>
                <c:pt idx="172">
                  <c:v>22.317</c:v>
                </c:pt>
                <c:pt idx="173">
                  <c:v>35.052999999999997</c:v>
                </c:pt>
                <c:pt idx="174">
                  <c:v>59.067</c:v>
                </c:pt>
                <c:pt idx="175">
                  <c:v>36.529000000000003</c:v>
                </c:pt>
                <c:pt idx="176">
                  <c:v>13.241</c:v>
                </c:pt>
                <c:pt idx="177">
                  <c:v>26.725000000000001</c:v>
                </c:pt>
                <c:pt idx="178">
                  <c:v>7.3559999999999999</c:v>
                </c:pt>
                <c:pt idx="179">
                  <c:v>16.016999999999999</c:v>
                </c:pt>
                <c:pt idx="180">
                  <c:v>11.792999999999999</c:v>
                </c:pt>
                <c:pt idx="181">
                  <c:v>28.756</c:v>
                </c:pt>
                <c:pt idx="182">
                  <c:v>25.393999999999998</c:v>
                </c:pt>
                <c:pt idx="183">
                  <c:v>21.952999999999999</c:v>
                </c:pt>
                <c:pt idx="184">
                  <c:v>30.359000000000002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E5-435D-931E-BF2B17B4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Дебит воды скважины, м3/сут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Master!$AE$3:$AE$187</c:f>
              <c:numCache>
                <c:formatCode>0.00</c:formatCode>
                <c:ptCount val="185"/>
                <c:pt idx="0">
                  <c:v>3.5039999999999978</c:v>
                </c:pt>
                <c:pt idx="1">
                  <c:v>37.757999999999996</c:v>
                </c:pt>
                <c:pt idx="2">
                  <c:v>15.394000000000002</c:v>
                </c:pt>
                <c:pt idx="3">
                  <c:v>8.3249999999999957</c:v>
                </c:pt>
                <c:pt idx="4">
                  <c:v>12.951999999999998</c:v>
                </c:pt>
                <c:pt idx="5">
                  <c:v>14.539000000000001</c:v>
                </c:pt>
                <c:pt idx="6">
                  <c:v>18.974000000000004</c:v>
                </c:pt>
                <c:pt idx="7">
                  <c:v>2.9649999999999999</c:v>
                </c:pt>
                <c:pt idx="8">
                  <c:v>11.032</c:v>
                </c:pt>
                <c:pt idx="9">
                  <c:v>17.771000000000001</c:v>
                </c:pt>
                <c:pt idx="10">
                  <c:v>8.9179999999999993</c:v>
                </c:pt>
                <c:pt idx="11">
                  <c:v>17.992999999999995</c:v>
                </c:pt>
                <c:pt idx="12">
                  <c:v>21.761000000000003</c:v>
                </c:pt>
                <c:pt idx="13">
                  <c:v>41.411999999999999</c:v>
                </c:pt>
                <c:pt idx="14">
                  <c:v>7.3789999999999978</c:v>
                </c:pt>
                <c:pt idx="15">
                  <c:v>5.7150000000000034</c:v>
                </c:pt>
                <c:pt idx="16">
                  <c:v>5.4179999999999993</c:v>
                </c:pt>
                <c:pt idx="17">
                  <c:v>5.8510000000000062</c:v>
                </c:pt>
                <c:pt idx="18">
                  <c:v>23.519000000000005</c:v>
                </c:pt>
                <c:pt idx="19">
                  <c:v>39.161999999999999</c:v>
                </c:pt>
                <c:pt idx="20">
                  <c:v>5.1599999999999966</c:v>
                </c:pt>
                <c:pt idx="21">
                  <c:v>3.8770000000000095</c:v>
                </c:pt>
                <c:pt idx="22">
                  <c:v>12.521999999999998</c:v>
                </c:pt>
                <c:pt idx="23">
                  <c:v>25.687000000000001</c:v>
                </c:pt>
                <c:pt idx="24">
                  <c:v>19.066000000000003</c:v>
                </c:pt>
                <c:pt idx="25">
                  <c:v>28.33</c:v>
                </c:pt>
                <c:pt idx="26">
                  <c:v>4.958999999999989</c:v>
                </c:pt>
                <c:pt idx="27">
                  <c:v>4.5720000000000027</c:v>
                </c:pt>
                <c:pt idx="28">
                  <c:v>18.552999999999997</c:v>
                </c:pt>
                <c:pt idx="29">
                  <c:v>3.6240000000000094</c:v>
                </c:pt>
                <c:pt idx="30">
                  <c:v>7.0690000000000026</c:v>
                </c:pt>
                <c:pt idx="31">
                  <c:v>11.347000000000001</c:v>
                </c:pt>
                <c:pt idx="32">
                  <c:v>12.863</c:v>
                </c:pt>
                <c:pt idx="33">
                  <c:v>18.732999999999997</c:v>
                </c:pt>
                <c:pt idx="34">
                  <c:v>18.291999999999994</c:v>
                </c:pt>
                <c:pt idx="35">
                  <c:v>20.911000000000001</c:v>
                </c:pt>
                <c:pt idx="36">
                  <c:v>17.739000000000004</c:v>
                </c:pt>
                <c:pt idx="37">
                  <c:v>9.3889999999999958</c:v>
                </c:pt>
                <c:pt idx="38">
                  <c:v>10.379999999999995</c:v>
                </c:pt>
                <c:pt idx="39">
                  <c:v>5.0210000000000008</c:v>
                </c:pt>
                <c:pt idx="40">
                  <c:v>3.9809999999999945</c:v>
                </c:pt>
                <c:pt idx="41">
                  <c:v>8.6980000000000075</c:v>
                </c:pt>
                <c:pt idx="42">
                  <c:v>10.128</c:v>
                </c:pt>
                <c:pt idx="43">
                  <c:v>18.962999999999994</c:v>
                </c:pt>
                <c:pt idx="44">
                  <c:v>5.9100000000000108</c:v>
                </c:pt>
                <c:pt idx="45">
                  <c:v>6.0939999999999941</c:v>
                </c:pt>
                <c:pt idx="46">
                  <c:v>7.277000000000001</c:v>
                </c:pt>
                <c:pt idx="47">
                  <c:v>41.482000000000014</c:v>
                </c:pt>
                <c:pt idx="48">
                  <c:v>18.424000000000007</c:v>
                </c:pt>
                <c:pt idx="49">
                  <c:v>13.590000000000003</c:v>
                </c:pt>
                <c:pt idx="50">
                  <c:v>5.8180000000000014</c:v>
                </c:pt>
                <c:pt idx="51">
                  <c:v>5.625</c:v>
                </c:pt>
                <c:pt idx="52">
                  <c:v>10.021999999999991</c:v>
                </c:pt>
                <c:pt idx="53">
                  <c:v>9.169000000000004</c:v>
                </c:pt>
                <c:pt idx="54">
                  <c:v>46.607999999999997</c:v>
                </c:pt>
                <c:pt idx="55">
                  <c:v>54.83</c:v>
                </c:pt>
                <c:pt idx="56">
                  <c:v>11.777999999999999</c:v>
                </c:pt>
                <c:pt idx="57">
                  <c:v>28.433999999999997</c:v>
                </c:pt>
                <c:pt idx="58">
                  <c:v>14.643000000000001</c:v>
                </c:pt>
                <c:pt idx="59">
                  <c:v>8.357999999999997</c:v>
                </c:pt>
                <c:pt idx="60">
                  <c:v>59.894999999999996</c:v>
                </c:pt>
                <c:pt idx="61">
                  <c:v>24.066999999999993</c:v>
                </c:pt>
                <c:pt idx="62">
                  <c:v>24.884</c:v>
                </c:pt>
                <c:pt idx="63">
                  <c:v>27.632999999999996</c:v>
                </c:pt>
                <c:pt idx="64">
                  <c:v>40.763000000000005</c:v>
                </c:pt>
                <c:pt idx="65">
                  <c:v>57.526999999999994</c:v>
                </c:pt>
                <c:pt idx="66">
                  <c:v>39.608999999999995</c:v>
                </c:pt>
                <c:pt idx="67">
                  <c:v>37.055999999999997</c:v>
                </c:pt>
                <c:pt idx="68">
                  <c:v>42.441000000000003</c:v>
                </c:pt>
                <c:pt idx="69">
                  <c:v>21.698</c:v>
                </c:pt>
                <c:pt idx="70">
                  <c:v>27.706000000000003</c:v>
                </c:pt>
                <c:pt idx="71">
                  <c:v>36.448999999999991</c:v>
                </c:pt>
                <c:pt idx="72">
                  <c:v>31.685999999999996</c:v>
                </c:pt>
                <c:pt idx="73">
                  <c:v>2.9589999999999996</c:v>
                </c:pt>
                <c:pt idx="74">
                  <c:v>105.268</c:v>
                </c:pt>
                <c:pt idx="75">
                  <c:v>64.292999999999992</c:v>
                </c:pt>
                <c:pt idx="76">
                  <c:v>44.181000000000004</c:v>
                </c:pt>
                <c:pt idx="77">
                  <c:v>18.802</c:v>
                </c:pt>
                <c:pt idx="78">
                  <c:v>37.652999999999999</c:v>
                </c:pt>
                <c:pt idx="79">
                  <c:v>1.1890000000000001</c:v>
                </c:pt>
                <c:pt idx="80">
                  <c:v>9.7430000000000021</c:v>
                </c:pt>
                <c:pt idx="81">
                  <c:v>32.353000000000002</c:v>
                </c:pt>
                <c:pt idx="82">
                  <c:v>89.871999999999986</c:v>
                </c:pt>
                <c:pt idx="83">
                  <c:v>20.756</c:v>
                </c:pt>
                <c:pt idx="84">
                  <c:v>104.85000000000001</c:v>
                </c:pt>
                <c:pt idx="85">
                  <c:v>52.654000000000003</c:v>
                </c:pt>
                <c:pt idx="86">
                  <c:v>5.3440000000000012</c:v>
                </c:pt>
                <c:pt idx="87">
                  <c:v>14.725999999999999</c:v>
                </c:pt>
                <c:pt idx="88">
                  <c:v>50.8</c:v>
                </c:pt>
                <c:pt idx="89">
                  <c:v>15.846999999999998</c:v>
                </c:pt>
                <c:pt idx="90">
                  <c:v>35.510999999999996</c:v>
                </c:pt>
                <c:pt idx="91">
                  <c:v>57.49199999999999</c:v>
                </c:pt>
                <c:pt idx="92">
                  <c:v>14.409000000000001</c:v>
                </c:pt>
                <c:pt idx="93">
                  <c:v>3.8039999999999985</c:v>
                </c:pt>
                <c:pt idx="94">
                  <c:v>5.5839999999999996</c:v>
                </c:pt>
                <c:pt idx="95">
                  <c:v>59.844000000000008</c:v>
                </c:pt>
                <c:pt idx="96">
                  <c:v>6.5179999999999998</c:v>
                </c:pt>
                <c:pt idx="97">
                  <c:v>62.947000000000003</c:v>
                </c:pt>
                <c:pt idx="98">
                  <c:v>1.8710000000000022</c:v>
                </c:pt>
                <c:pt idx="99">
                  <c:v>56.918999999999997</c:v>
                </c:pt>
                <c:pt idx="100">
                  <c:v>58.302000000000007</c:v>
                </c:pt>
                <c:pt idx="101">
                  <c:v>174.46899999999999</c:v>
                </c:pt>
                <c:pt idx="102">
                  <c:v>8.2449999999999992</c:v>
                </c:pt>
                <c:pt idx="103">
                  <c:v>14.965999999999998</c:v>
                </c:pt>
                <c:pt idx="104">
                  <c:v>8.157</c:v>
                </c:pt>
                <c:pt idx="105">
                  <c:v>13.042000000000002</c:v>
                </c:pt>
                <c:pt idx="106">
                  <c:v>5.588000000000001</c:v>
                </c:pt>
                <c:pt idx="107">
                  <c:v>65.554000000000002</c:v>
                </c:pt>
                <c:pt idx="108">
                  <c:v>3.4619999999999997</c:v>
                </c:pt>
                <c:pt idx="109">
                  <c:v>51.504999999999995</c:v>
                </c:pt>
                <c:pt idx="110">
                  <c:v>29.42</c:v>
                </c:pt>
                <c:pt idx="111">
                  <c:v>108.821</c:v>
                </c:pt>
                <c:pt idx="112">
                  <c:v>36.384</c:v>
                </c:pt>
                <c:pt idx="113">
                  <c:v>181.90899999999999</c:v>
                </c:pt>
                <c:pt idx="114">
                  <c:v>81.246000000000009</c:v>
                </c:pt>
                <c:pt idx="115">
                  <c:v>109.22800000000001</c:v>
                </c:pt>
                <c:pt idx="116">
                  <c:v>181.82399999999998</c:v>
                </c:pt>
                <c:pt idx="117">
                  <c:v>262.01499999999999</c:v>
                </c:pt>
                <c:pt idx="118">
                  <c:v>87.446999999999989</c:v>
                </c:pt>
                <c:pt idx="119">
                  <c:v>143.846</c:v>
                </c:pt>
                <c:pt idx="120">
                  <c:v>113.411</c:v>
                </c:pt>
                <c:pt idx="121">
                  <c:v>80.63300000000001</c:v>
                </c:pt>
                <c:pt idx="122">
                  <c:v>43.231999999999999</c:v>
                </c:pt>
                <c:pt idx="123">
                  <c:v>14.245000000000001</c:v>
                </c:pt>
                <c:pt idx="124">
                  <c:v>79.247</c:v>
                </c:pt>
                <c:pt idx="125">
                  <c:v>4.0500000000000007</c:v>
                </c:pt>
                <c:pt idx="126">
                  <c:v>42.167999999999992</c:v>
                </c:pt>
                <c:pt idx="127">
                  <c:v>6.0620000000000012</c:v>
                </c:pt>
                <c:pt idx="128">
                  <c:v>6.0889999999999995</c:v>
                </c:pt>
                <c:pt idx="129">
                  <c:v>13.126999999999995</c:v>
                </c:pt>
                <c:pt idx="130">
                  <c:v>64.292999999999992</c:v>
                </c:pt>
                <c:pt idx="131">
                  <c:v>1.1890000000000001</c:v>
                </c:pt>
                <c:pt idx="132">
                  <c:v>104.85000000000001</c:v>
                </c:pt>
                <c:pt idx="133">
                  <c:v>14.725999999999999</c:v>
                </c:pt>
                <c:pt idx="134">
                  <c:v>62.947000000000003</c:v>
                </c:pt>
                <c:pt idx="135">
                  <c:v>174.46899999999999</c:v>
                </c:pt>
                <c:pt idx="136">
                  <c:v>8.2449999999999992</c:v>
                </c:pt>
                <c:pt idx="137">
                  <c:v>6.0620000000000012</c:v>
                </c:pt>
                <c:pt idx="138">
                  <c:v>6.0889999999999995</c:v>
                </c:pt>
                <c:pt idx="139">
                  <c:v>6.5179999999999998</c:v>
                </c:pt>
                <c:pt idx="140">
                  <c:v>8.157</c:v>
                </c:pt>
                <c:pt idx="141">
                  <c:v>87.446999999999989</c:v>
                </c:pt>
                <c:pt idx="142">
                  <c:v>31.685999999999996</c:v>
                </c:pt>
                <c:pt idx="143">
                  <c:v>2.9589999999999996</c:v>
                </c:pt>
                <c:pt idx="144">
                  <c:v>105.268</c:v>
                </c:pt>
                <c:pt idx="145">
                  <c:v>44.181000000000004</c:v>
                </c:pt>
                <c:pt idx="146">
                  <c:v>18.802</c:v>
                </c:pt>
                <c:pt idx="147">
                  <c:v>37.652999999999999</c:v>
                </c:pt>
                <c:pt idx="148">
                  <c:v>9.7430000000000021</c:v>
                </c:pt>
                <c:pt idx="149">
                  <c:v>32.353000000000002</c:v>
                </c:pt>
                <c:pt idx="150">
                  <c:v>89.871999999999986</c:v>
                </c:pt>
                <c:pt idx="151">
                  <c:v>20.756</c:v>
                </c:pt>
                <c:pt idx="152">
                  <c:v>52.654000000000003</c:v>
                </c:pt>
                <c:pt idx="153">
                  <c:v>5.3440000000000012</c:v>
                </c:pt>
                <c:pt idx="154">
                  <c:v>50.8</c:v>
                </c:pt>
                <c:pt idx="155">
                  <c:v>15.846999999999998</c:v>
                </c:pt>
                <c:pt idx="156">
                  <c:v>35.510999999999996</c:v>
                </c:pt>
                <c:pt idx="157">
                  <c:v>57.49199999999999</c:v>
                </c:pt>
                <c:pt idx="158">
                  <c:v>14.409000000000001</c:v>
                </c:pt>
                <c:pt idx="159">
                  <c:v>3.8039999999999985</c:v>
                </c:pt>
                <c:pt idx="160">
                  <c:v>5.5839999999999996</c:v>
                </c:pt>
                <c:pt idx="161">
                  <c:v>59.844000000000008</c:v>
                </c:pt>
                <c:pt idx="162">
                  <c:v>56.918999999999997</c:v>
                </c:pt>
                <c:pt idx="163">
                  <c:v>58.302000000000007</c:v>
                </c:pt>
                <c:pt idx="164">
                  <c:v>14.965999999999998</c:v>
                </c:pt>
                <c:pt idx="165">
                  <c:v>5.588000000000001</c:v>
                </c:pt>
                <c:pt idx="166">
                  <c:v>65.554000000000002</c:v>
                </c:pt>
                <c:pt idx="167">
                  <c:v>3.4619999999999997</c:v>
                </c:pt>
                <c:pt idx="168">
                  <c:v>51.504999999999995</c:v>
                </c:pt>
                <c:pt idx="169">
                  <c:v>29.42</c:v>
                </c:pt>
                <c:pt idx="170">
                  <c:v>108.821</c:v>
                </c:pt>
                <c:pt idx="171">
                  <c:v>36.384</c:v>
                </c:pt>
                <c:pt idx="172">
                  <c:v>81.246000000000009</c:v>
                </c:pt>
                <c:pt idx="173">
                  <c:v>109.22800000000001</c:v>
                </c:pt>
                <c:pt idx="174">
                  <c:v>181.82399999999998</c:v>
                </c:pt>
                <c:pt idx="175">
                  <c:v>262.01499999999999</c:v>
                </c:pt>
                <c:pt idx="176">
                  <c:v>143.846</c:v>
                </c:pt>
                <c:pt idx="177">
                  <c:v>113.411</c:v>
                </c:pt>
                <c:pt idx="178">
                  <c:v>80.63300000000001</c:v>
                </c:pt>
                <c:pt idx="179">
                  <c:v>43.231999999999999</c:v>
                </c:pt>
                <c:pt idx="180">
                  <c:v>14.245000000000001</c:v>
                </c:pt>
                <c:pt idx="181">
                  <c:v>79.247</c:v>
                </c:pt>
                <c:pt idx="182">
                  <c:v>4.0500000000000007</c:v>
                </c:pt>
                <c:pt idx="183">
                  <c:v>42.167999999999992</c:v>
                </c:pt>
                <c:pt idx="184">
                  <c:v>13.126999999999995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81-496C-ACA7-EF053B371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'Радиус зоны дренирования, м'!$D$2:$D$15</c:f>
              <c:strCache>
                <c:ptCount val="14"/>
                <c:pt idx="0">
                  <c:v>705,3846154</c:v>
                </c:pt>
                <c:pt idx="1">
                  <c:v>303,8461538</c:v>
                </c:pt>
                <c:pt idx="2">
                  <c:v>348,4615385</c:v>
                </c:pt>
                <c:pt idx="3">
                  <c:v>526,9230769</c:v>
                </c:pt>
                <c:pt idx="4">
                  <c:v>Еще</c:v>
                </c:pt>
                <c:pt idx="5">
                  <c:v>660,7692308</c:v>
                </c:pt>
                <c:pt idx="6">
                  <c:v>259,2307692</c:v>
                </c:pt>
                <c:pt idx="7">
                  <c:v>482,3076923</c:v>
                </c:pt>
                <c:pt idx="8">
                  <c:v>393,0769231</c:v>
                </c:pt>
                <c:pt idx="9">
                  <c:v>214,6153846</c:v>
                </c:pt>
                <c:pt idx="10">
                  <c:v>437,6923077</c:v>
                </c:pt>
                <c:pt idx="11">
                  <c:v>170</c:v>
                </c:pt>
                <c:pt idx="12">
                  <c:v>571,5384615</c:v>
                </c:pt>
                <c:pt idx="13">
                  <c:v>616,1538462</c:v>
                </c:pt>
              </c:strCache>
            </c:strRef>
          </c:cat>
          <c:val>
            <c:numRef>
              <c:f>'Радиус зоны дренирования, м'!$E$2:$E$15</c:f>
              <c:numCache>
                <c:formatCode>General</c:formatCode>
                <c:ptCount val="14"/>
                <c:pt idx="0">
                  <c:v>39</c:v>
                </c:pt>
                <c:pt idx="1">
                  <c:v>28</c:v>
                </c:pt>
                <c:pt idx="2">
                  <c:v>25</c:v>
                </c:pt>
                <c:pt idx="3">
                  <c:v>18</c:v>
                </c:pt>
                <c:pt idx="4">
                  <c:v>17</c:v>
                </c:pt>
                <c:pt idx="5">
                  <c:v>12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6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6-410E-A36F-1286C55E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8960192"/>
        <c:axId val="608960520"/>
      </c:barChart>
      <c:lineChart>
        <c:grouping val="standard"/>
        <c:varyColors val="0"/>
        <c:ser>
          <c:idx val="1"/>
          <c:order val="1"/>
          <c:tx>
            <c:v>Интегральный %</c:v>
          </c:tx>
          <c:cat>
            <c:strRef>
              <c:f>'Радиус зоны дренирования, м'!$D$2:$D$15</c:f>
              <c:strCache>
                <c:ptCount val="14"/>
                <c:pt idx="0">
                  <c:v>705,3846154</c:v>
                </c:pt>
                <c:pt idx="1">
                  <c:v>303,8461538</c:v>
                </c:pt>
                <c:pt idx="2">
                  <c:v>348,4615385</c:v>
                </c:pt>
                <c:pt idx="3">
                  <c:v>526,9230769</c:v>
                </c:pt>
                <c:pt idx="4">
                  <c:v>Еще</c:v>
                </c:pt>
                <c:pt idx="5">
                  <c:v>660,7692308</c:v>
                </c:pt>
                <c:pt idx="6">
                  <c:v>259,2307692</c:v>
                </c:pt>
                <c:pt idx="7">
                  <c:v>482,3076923</c:v>
                </c:pt>
                <c:pt idx="8">
                  <c:v>393,0769231</c:v>
                </c:pt>
                <c:pt idx="9">
                  <c:v>214,6153846</c:v>
                </c:pt>
                <c:pt idx="10">
                  <c:v>437,6923077</c:v>
                </c:pt>
                <c:pt idx="11">
                  <c:v>170</c:v>
                </c:pt>
                <c:pt idx="12">
                  <c:v>571,5384615</c:v>
                </c:pt>
                <c:pt idx="13">
                  <c:v>616,1538462</c:v>
                </c:pt>
              </c:strCache>
            </c:strRef>
          </c:cat>
          <c:val>
            <c:numRef>
              <c:f>'Радиус зоны дренирования, м'!$F$2:$F$15</c:f>
              <c:numCache>
                <c:formatCode>0.00%</c:formatCode>
                <c:ptCount val="14"/>
                <c:pt idx="0">
                  <c:v>0.21081081081081082</c:v>
                </c:pt>
                <c:pt idx="1">
                  <c:v>0.36216216216216218</c:v>
                </c:pt>
                <c:pt idx="2">
                  <c:v>0.49729729729729732</c:v>
                </c:pt>
                <c:pt idx="3">
                  <c:v>0.59459459459459463</c:v>
                </c:pt>
                <c:pt idx="4">
                  <c:v>0.68648648648648647</c:v>
                </c:pt>
                <c:pt idx="5">
                  <c:v>0.75135135135135134</c:v>
                </c:pt>
                <c:pt idx="6">
                  <c:v>0.81081081081081086</c:v>
                </c:pt>
                <c:pt idx="7">
                  <c:v>0.85945945945945945</c:v>
                </c:pt>
                <c:pt idx="8">
                  <c:v>0.9027027027027027</c:v>
                </c:pt>
                <c:pt idx="9">
                  <c:v>0.93513513513513513</c:v>
                </c:pt>
                <c:pt idx="10">
                  <c:v>0.96756756756756757</c:v>
                </c:pt>
                <c:pt idx="11">
                  <c:v>0.97837837837837838</c:v>
                </c:pt>
                <c:pt idx="12">
                  <c:v>0.98918918918918919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66-410E-A36F-1286C55E6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8951336"/>
        <c:axId val="608959536"/>
      </c:lineChart>
      <c:catAx>
        <c:axId val="608960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8960520"/>
        <c:crosses val="autoZero"/>
        <c:auto val="1"/>
        <c:lblAlgn val="ctr"/>
        <c:lblOffset val="100"/>
        <c:noMultiLvlLbl val="0"/>
      </c:catAx>
      <c:valAx>
        <c:axId val="6089605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8960192"/>
        <c:crosses val="autoZero"/>
        <c:crossBetween val="between"/>
      </c:valAx>
      <c:valAx>
        <c:axId val="6089595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608951336"/>
        <c:crosses val="max"/>
        <c:crossBetween val="between"/>
      </c:valAx>
      <c:catAx>
        <c:axId val="6089513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0895953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'Количество стадий ГРП, шт'!$A$2:$A$15</c:f>
              <c:strCache>
                <c:ptCount val="14"/>
                <c:pt idx="0">
                  <c:v>170</c:v>
                </c:pt>
                <c:pt idx="1">
                  <c:v>214,6153846</c:v>
                </c:pt>
                <c:pt idx="2">
                  <c:v>259,2307692</c:v>
                </c:pt>
                <c:pt idx="3">
                  <c:v>303,8461538</c:v>
                </c:pt>
                <c:pt idx="4">
                  <c:v>348,4615385</c:v>
                </c:pt>
                <c:pt idx="5">
                  <c:v>393,0769231</c:v>
                </c:pt>
                <c:pt idx="6">
                  <c:v>437,6923077</c:v>
                </c:pt>
                <c:pt idx="7">
                  <c:v>482,3076923</c:v>
                </c:pt>
                <c:pt idx="8">
                  <c:v>526,9230769</c:v>
                </c:pt>
                <c:pt idx="9">
                  <c:v>571,5384615</c:v>
                </c:pt>
                <c:pt idx="10">
                  <c:v>616,1538462</c:v>
                </c:pt>
                <c:pt idx="11">
                  <c:v>660,7692308</c:v>
                </c:pt>
                <c:pt idx="12">
                  <c:v>705,3846154</c:v>
                </c:pt>
                <c:pt idx="13">
                  <c:v>Еще</c:v>
                </c:pt>
              </c:strCache>
            </c:strRef>
          </c:cat>
          <c:val>
            <c:numRef>
              <c:f>'Количество стадий ГРП, шт'!$B$2:$B$15</c:f>
              <c:numCache>
                <c:formatCode>General</c:formatCode>
                <c:ptCount val="14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28</c:v>
                </c:pt>
                <c:pt idx="4">
                  <c:v>25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18</c:v>
                </c:pt>
                <c:pt idx="9">
                  <c:v>2</c:v>
                </c:pt>
                <c:pt idx="10">
                  <c:v>2</c:v>
                </c:pt>
                <c:pt idx="11">
                  <c:v>12</c:v>
                </c:pt>
                <c:pt idx="12">
                  <c:v>39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54-439B-A2D4-EF8E6E5D44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83320"/>
        <c:axId val="612183648"/>
      </c:barChart>
      <c:catAx>
        <c:axId val="612183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83648"/>
        <c:crosses val="autoZero"/>
        <c:auto val="1"/>
        <c:lblAlgn val="ctr"/>
        <c:lblOffset val="100"/>
        <c:noMultiLvlLbl val="0"/>
      </c:catAx>
      <c:valAx>
        <c:axId val="6121836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833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ru-RU"/>
              <a:t>Гистограмма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Частота</c:v>
          </c:tx>
          <c:invertIfNegative val="0"/>
          <c:cat>
            <c:strRef>
              <c:f>'Дебит нефти скважины, м3 сут'!$A$2:$A$15</c:f>
              <c:strCache>
                <c:ptCount val="14"/>
                <c:pt idx="0">
                  <c:v>170</c:v>
                </c:pt>
                <c:pt idx="1">
                  <c:v>214,6153846</c:v>
                </c:pt>
                <c:pt idx="2">
                  <c:v>259,2307692</c:v>
                </c:pt>
                <c:pt idx="3">
                  <c:v>303,8461538</c:v>
                </c:pt>
                <c:pt idx="4">
                  <c:v>348,4615385</c:v>
                </c:pt>
                <c:pt idx="5">
                  <c:v>393,0769231</c:v>
                </c:pt>
                <c:pt idx="6">
                  <c:v>437,6923077</c:v>
                </c:pt>
                <c:pt idx="7">
                  <c:v>482,3076923</c:v>
                </c:pt>
                <c:pt idx="8">
                  <c:v>526,9230769</c:v>
                </c:pt>
                <c:pt idx="9">
                  <c:v>571,5384615</c:v>
                </c:pt>
                <c:pt idx="10">
                  <c:v>616,1538462</c:v>
                </c:pt>
                <c:pt idx="11">
                  <c:v>660,7692308</c:v>
                </c:pt>
                <c:pt idx="12">
                  <c:v>705,3846154</c:v>
                </c:pt>
                <c:pt idx="13">
                  <c:v>Еще</c:v>
                </c:pt>
              </c:strCache>
            </c:strRef>
          </c:cat>
          <c:val>
            <c:numRef>
              <c:f>'Дебит нефти скважины, м3 сут'!$B$2:$B$15</c:f>
              <c:numCache>
                <c:formatCode>General</c:formatCode>
                <c:ptCount val="14"/>
                <c:pt idx="0">
                  <c:v>2</c:v>
                </c:pt>
                <c:pt idx="1">
                  <c:v>6</c:v>
                </c:pt>
                <c:pt idx="2">
                  <c:v>11</c:v>
                </c:pt>
                <c:pt idx="3">
                  <c:v>28</c:v>
                </c:pt>
                <c:pt idx="4">
                  <c:v>25</c:v>
                </c:pt>
                <c:pt idx="5">
                  <c:v>8</c:v>
                </c:pt>
                <c:pt idx="6">
                  <c:v>6</c:v>
                </c:pt>
                <c:pt idx="7">
                  <c:v>9</c:v>
                </c:pt>
                <c:pt idx="8">
                  <c:v>18</c:v>
                </c:pt>
                <c:pt idx="9">
                  <c:v>2</c:v>
                </c:pt>
                <c:pt idx="10">
                  <c:v>2</c:v>
                </c:pt>
                <c:pt idx="11">
                  <c:v>12</c:v>
                </c:pt>
                <c:pt idx="12">
                  <c:v>39</c:v>
                </c:pt>
                <c:pt idx="1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3D-4803-9F3F-FE1A19C7C4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12181024"/>
        <c:axId val="612179384"/>
      </c:barChart>
      <c:catAx>
        <c:axId val="612181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Карман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79384"/>
        <c:crosses val="autoZero"/>
        <c:auto val="1"/>
        <c:lblAlgn val="ctr"/>
        <c:lblOffset val="100"/>
        <c:noMultiLvlLbl val="0"/>
      </c:catAx>
      <c:valAx>
        <c:axId val="61217938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ru-RU"/>
                  <a:t>Частота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218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Дебит нефти скважины, м3/сут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v>Среднее значение дебита нефти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'Normalization Detailed'!$Q$20:$Q$21</c:f>
              <c:numCache>
                <c:formatCode>General</c:formatCode>
                <c:ptCount val="2"/>
                <c:pt idx="0">
                  <c:v>0</c:v>
                </c:pt>
                <c:pt idx="1">
                  <c:v>200</c:v>
                </c:pt>
              </c:numCache>
            </c:numRef>
          </c:xVal>
          <c:yVal>
            <c:numRef>
              <c:f>'Normalization Detailed'!$R$20:$R$21</c:f>
              <c:numCache>
                <c:formatCode>0.00</c:formatCode>
                <c:ptCount val="2"/>
                <c:pt idx="0">
                  <c:v>35.123859459459467</c:v>
                </c:pt>
                <c:pt idx="1">
                  <c:v>35.123859459459467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BD-4BBE-A7B4-F67F9E76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scatterChart>
        <c:scatterStyle val="lineMarker"/>
        <c:varyColors val="0"/>
        <c:ser>
          <c:idx val="0"/>
          <c:order val="0"/>
          <c:tx>
            <c:v>Дебит нефти ниже среднего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yVal>
            <c:numRef>
              <c:f>'Normalization Detailed'!$AS$3:$AS$187</c:f>
              <c:numCache>
                <c:formatCode>General</c:formatCode>
                <c:ptCount val="185"/>
                <c:pt idx="0">
                  <c:v>0</c:v>
                </c:pt>
                <c:pt idx="1">
                  <c:v>0</c:v>
                </c:pt>
                <c:pt idx="2">
                  <c:v>24.562999999999999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25.088999999999999</c:v>
                </c:pt>
                <c:pt idx="7">
                  <c:v>24.584</c:v>
                </c:pt>
                <c:pt idx="8">
                  <c:v>18.629000000000001</c:v>
                </c:pt>
                <c:pt idx="9">
                  <c:v>0</c:v>
                </c:pt>
                <c:pt idx="10">
                  <c:v>27.335999999999999</c:v>
                </c:pt>
                <c:pt idx="11">
                  <c:v>0</c:v>
                </c:pt>
                <c:pt idx="12">
                  <c:v>30.466999999999999</c:v>
                </c:pt>
                <c:pt idx="13">
                  <c:v>0</c:v>
                </c:pt>
                <c:pt idx="14">
                  <c:v>34.356999999999999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7.8159999999999998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25.971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17.145</c:v>
                </c:pt>
                <c:pt idx="51">
                  <c:v>0</c:v>
                </c:pt>
                <c:pt idx="52">
                  <c:v>0</c:v>
                </c:pt>
                <c:pt idx="53">
                  <c:v>27.024999999999999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32.21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27.946000000000002</c:v>
                </c:pt>
                <c:pt idx="65">
                  <c:v>25.228000000000002</c:v>
                </c:pt>
                <c:pt idx="66">
                  <c:v>24.983000000000001</c:v>
                </c:pt>
                <c:pt idx="67">
                  <c:v>24.321999999999999</c:v>
                </c:pt>
                <c:pt idx="68">
                  <c:v>31.050999999999998</c:v>
                </c:pt>
                <c:pt idx="69">
                  <c:v>0</c:v>
                </c:pt>
                <c:pt idx="70">
                  <c:v>32.671999999999997</c:v>
                </c:pt>
                <c:pt idx="71">
                  <c:v>34.404000000000003</c:v>
                </c:pt>
                <c:pt idx="72">
                  <c:v>21.864000000000001</c:v>
                </c:pt>
                <c:pt idx="73">
                  <c:v>12.843</c:v>
                </c:pt>
                <c:pt idx="74">
                  <c:v>32.054000000000002</c:v>
                </c:pt>
                <c:pt idx="75">
                  <c:v>9.9710000000000001</c:v>
                </c:pt>
                <c:pt idx="76">
                  <c:v>20.933</c:v>
                </c:pt>
                <c:pt idx="77">
                  <c:v>14.574</c:v>
                </c:pt>
                <c:pt idx="78">
                  <c:v>3.665</c:v>
                </c:pt>
                <c:pt idx="79">
                  <c:v>8.0079999999999991</c:v>
                </c:pt>
                <c:pt idx="80">
                  <c:v>33.582999999999998</c:v>
                </c:pt>
                <c:pt idx="81">
                  <c:v>0</c:v>
                </c:pt>
                <c:pt idx="82">
                  <c:v>0</c:v>
                </c:pt>
                <c:pt idx="83">
                  <c:v>4.9050000000000002</c:v>
                </c:pt>
                <c:pt idx="84">
                  <c:v>0</c:v>
                </c:pt>
                <c:pt idx="85">
                  <c:v>14.561</c:v>
                </c:pt>
                <c:pt idx="86">
                  <c:v>17.529</c:v>
                </c:pt>
                <c:pt idx="87">
                  <c:v>6.3049999999999997</c:v>
                </c:pt>
                <c:pt idx="88">
                  <c:v>0</c:v>
                </c:pt>
                <c:pt idx="89">
                  <c:v>18.919</c:v>
                </c:pt>
                <c:pt idx="90">
                  <c:v>15.417</c:v>
                </c:pt>
                <c:pt idx="91">
                  <c:v>18.495000000000001</c:v>
                </c:pt>
                <c:pt idx="92">
                  <c:v>6.1470000000000002</c:v>
                </c:pt>
                <c:pt idx="93">
                  <c:v>13.582000000000001</c:v>
                </c:pt>
                <c:pt idx="94">
                  <c:v>19.356999999999999</c:v>
                </c:pt>
                <c:pt idx="95">
                  <c:v>27.88</c:v>
                </c:pt>
                <c:pt idx="96">
                  <c:v>4.9020000000000001</c:v>
                </c:pt>
                <c:pt idx="97">
                  <c:v>4.6340000000000003</c:v>
                </c:pt>
                <c:pt idx="98">
                  <c:v>14.263999999999999</c:v>
                </c:pt>
                <c:pt idx="99">
                  <c:v>0</c:v>
                </c:pt>
                <c:pt idx="100">
                  <c:v>7.47</c:v>
                </c:pt>
                <c:pt idx="101">
                  <c:v>7.1999999999999995E-2</c:v>
                </c:pt>
                <c:pt idx="102">
                  <c:v>10.816000000000001</c:v>
                </c:pt>
                <c:pt idx="103">
                  <c:v>18.663</c:v>
                </c:pt>
                <c:pt idx="104">
                  <c:v>31.132999999999999</c:v>
                </c:pt>
                <c:pt idx="105">
                  <c:v>0</c:v>
                </c:pt>
                <c:pt idx="106">
                  <c:v>20.192</c:v>
                </c:pt>
                <c:pt idx="107">
                  <c:v>0</c:v>
                </c:pt>
                <c:pt idx="108">
                  <c:v>17.428999999999998</c:v>
                </c:pt>
                <c:pt idx="109">
                  <c:v>0</c:v>
                </c:pt>
                <c:pt idx="110">
                  <c:v>12.193</c:v>
                </c:pt>
                <c:pt idx="111">
                  <c:v>17.481999999999999</c:v>
                </c:pt>
                <c:pt idx="112">
                  <c:v>14.819000000000001</c:v>
                </c:pt>
                <c:pt idx="113">
                  <c:v>30.995999999999999</c:v>
                </c:pt>
                <c:pt idx="114">
                  <c:v>22.317</c:v>
                </c:pt>
                <c:pt idx="115">
                  <c:v>35.052999999999997</c:v>
                </c:pt>
                <c:pt idx="116">
                  <c:v>0</c:v>
                </c:pt>
                <c:pt idx="117">
                  <c:v>0</c:v>
                </c:pt>
                <c:pt idx="118">
                  <c:v>22.498000000000001</c:v>
                </c:pt>
                <c:pt idx="119">
                  <c:v>13.241</c:v>
                </c:pt>
                <c:pt idx="120">
                  <c:v>26.725000000000001</c:v>
                </c:pt>
                <c:pt idx="121">
                  <c:v>7.3559999999999999</c:v>
                </c:pt>
                <c:pt idx="122">
                  <c:v>16.016999999999999</c:v>
                </c:pt>
                <c:pt idx="123">
                  <c:v>11.792999999999999</c:v>
                </c:pt>
                <c:pt idx="124">
                  <c:v>28.756</c:v>
                </c:pt>
                <c:pt idx="125">
                  <c:v>25.393999999999998</c:v>
                </c:pt>
                <c:pt idx="126">
                  <c:v>21.952999999999999</c:v>
                </c:pt>
                <c:pt idx="127">
                  <c:v>3.456</c:v>
                </c:pt>
                <c:pt idx="128">
                  <c:v>7.39</c:v>
                </c:pt>
                <c:pt idx="129">
                  <c:v>30.359000000000002</c:v>
                </c:pt>
                <c:pt idx="130">
                  <c:v>9.9710000000000001</c:v>
                </c:pt>
                <c:pt idx="131">
                  <c:v>8.0079999999999991</c:v>
                </c:pt>
                <c:pt idx="132">
                  <c:v>0</c:v>
                </c:pt>
                <c:pt idx="133">
                  <c:v>6.3049999999999997</c:v>
                </c:pt>
                <c:pt idx="134">
                  <c:v>4.6340000000000003</c:v>
                </c:pt>
                <c:pt idx="135">
                  <c:v>7.1999999999999995E-2</c:v>
                </c:pt>
                <c:pt idx="136">
                  <c:v>10.816000000000001</c:v>
                </c:pt>
                <c:pt idx="137">
                  <c:v>3.456</c:v>
                </c:pt>
                <c:pt idx="138">
                  <c:v>7.39</c:v>
                </c:pt>
                <c:pt idx="139">
                  <c:v>4.9020000000000001</c:v>
                </c:pt>
                <c:pt idx="140">
                  <c:v>31.132999999999999</c:v>
                </c:pt>
                <c:pt idx="141">
                  <c:v>22.498000000000001</c:v>
                </c:pt>
                <c:pt idx="142">
                  <c:v>21.864000000000001</c:v>
                </c:pt>
                <c:pt idx="143">
                  <c:v>12.843</c:v>
                </c:pt>
                <c:pt idx="144">
                  <c:v>32.054000000000002</c:v>
                </c:pt>
                <c:pt idx="145">
                  <c:v>20.933</c:v>
                </c:pt>
                <c:pt idx="146">
                  <c:v>14.574</c:v>
                </c:pt>
                <c:pt idx="147">
                  <c:v>3.665</c:v>
                </c:pt>
                <c:pt idx="148">
                  <c:v>33.582999999999998</c:v>
                </c:pt>
                <c:pt idx="149">
                  <c:v>0</c:v>
                </c:pt>
                <c:pt idx="150">
                  <c:v>0</c:v>
                </c:pt>
                <c:pt idx="151">
                  <c:v>4.9050000000000002</c:v>
                </c:pt>
                <c:pt idx="152">
                  <c:v>14.561</c:v>
                </c:pt>
                <c:pt idx="153">
                  <c:v>17.529</c:v>
                </c:pt>
                <c:pt idx="154">
                  <c:v>0</c:v>
                </c:pt>
                <c:pt idx="155">
                  <c:v>18.919</c:v>
                </c:pt>
                <c:pt idx="156">
                  <c:v>15.417</c:v>
                </c:pt>
                <c:pt idx="157">
                  <c:v>18.495000000000001</c:v>
                </c:pt>
                <c:pt idx="158">
                  <c:v>6.1470000000000002</c:v>
                </c:pt>
                <c:pt idx="159">
                  <c:v>13.582000000000001</c:v>
                </c:pt>
                <c:pt idx="160">
                  <c:v>19.356999999999999</c:v>
                </c:pt>
                <c:pt idx="161">
                  <c:v>27.88</c:v>
                </c:pt>
                <c:pt idx="162">
                  <c:v>0</c:v>
                </c:pt>
                <c:pt idx="163">
                  <c:v>7.47</c:v>
                </c:pt>
                <c:pt idx="164">
                  <c:v>18.663</c:v>
                </c:pt>
                <c:pt idx="165">
                  <c:v>20.192</c:v>
                </c:pt>
                <c:pt idx="166">
                  <c:v>0</c:v>
                </c:pt>
                <c:pt idx="167">
                  <c:v>17.428999999999998</c:v>
                </c:pt>
                <c:pt idx="168">
                  <c:v>0</c:v>
                </c:pt>
                <c:pt idx="169">
                  <c:v>12.193</c:v>
                </c:pt>
                <c:pt idx="170">
                  <c:v>17.481999999999999</c:v>
                </c:pt>
                <c:pt idx="171">
                  <c:v>14.819000000000001</c:v>
                </c:pt>
                <c:pt idx="172">
                  <c:v>22.317</c:v>
                </c:pt>
                <c:pt idx="173">
                  <c:v>35.052999999999997</c:v>
                </c:pt>
                <c:pt idx="174">
                  <c:v>0</c:v>
                </c:pt>
                <c:pt idx="175">
                  <c:v>0</c:v>
                </c:pt>
                <c:pt idx="176">
                  <c:v>13.241</c:v>
                </c:pt>
                <c:pt idx="177">
                  <c:v>26.725000000000001</c:v>
                </c:pt>
                <c:pt idx="178">
                  <c:v>7.3559999999999999</c:v>
                </c:pt>
                <c:pt idx="179">
                  <c:v>16.016999999999999</c:v>
                </c:pt>
                <c:pt idx="180">
                  <c:v>11.792999999999999</c:v>
                </c:pt>
                <c:pt idx="181">
                  <c:v>28.756</c:v>
                </c:pt>
                <c:pt idx="182">
                  <c:v>25.393999999999998</c:v>
                </c:pt>
                <c:pt idx="183">
                  <c:v>21.952999999999999</c:v>
                </c:pt>
                <c:pt idx="184">
                  <c:v>30.359000000000002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BD-4BBE-A7B4-F67F9E76A6C2}"/>
            </c:ext>
          </c:extLst>
        </c:ser>
        <c:ser>
          <c:idx val="2"/>
          <c:order val="2"/>
          <c:tx>
            <c:v>Дебит нефти выше среднего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yVal>
            <c:numRef>
              <c:f>'Normalization Detailed'!$AT$3:$AT$187</c:f>
              <c:numCache>
                <c:formatCode>General</c:formatCode>
                <c:ptCount val="185"/>
                <c:pt idx="0">
                  <c:v>51.655000000000001</c:v>
                </c:pt>
                <c:pt idx="1">
                  <c:v>94.090999999999994</c:v>
                </c:pt>
                <c:pt idx="2">
                  <c:v>0</c:v>
                </c:pt>
                <c:pt idx="3">
                  <c:v>44.103000000000002</c:v>
                </c:pt>
                <c:pt idx="4">
                  <c:v>44.581000000000003</c:v>
                </c:pt>
                <c:pt idx="5">
                  <c:v>49.850999999999999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48.682000000000002</c:v>
                </c:pt>
                <c:pt idx="10">
                  <c:v>0</c:v>
                </c:pt>
                <c:pt idx="11">
                  <c:v>51.42</c:v>
                </c:pt>
                <c:pt idx="12">
                  <c:v>0</c:v>
                </c:pt>
                <c:pt idx="13">
                  <c:v>51.21</c:v>
                </c:pt>
                <c:pt idx="14">
                  <c:v>0</c:v>
                </c:pt>
                <c:pt idx="15">
                  <c:v>56.356999999999999</c:v>
                </c:pt>
                <c:pt idx="16">
                  <c:v>46.783999999999999</c:v>
                </c:pt>
                <c:pt idx="17">
                  <c:v>57.793999999999997</c:v>
                </c:pt>
                <c:pt idx="18">
                  <c:v>68.287999999999997</c:v>
                </c:pt>
                <c:pt idx="19">
                  <c:v>0</c:v>
                </c:pt>
                <c:pt idx="20">
                  <c:v>76.936000000000007</c:v>
                </c:pt>
                <c:pt idx="21">
                  <c:v>67.147999999999996</c:v>
                </c:pt>
                <c:pt idx="22">
                  <c:v>52.213000000000001</c:v>
                </c:pt>
                <c:pt idx="23">
                  <c:v>0</c:v>
                </c:pt>
                <c:pt idx="24">
                  <c:v>63.28</c:v>
                </c:pt>
                <c:pt idx="25">
                  <c:v>76.174000000000007</c:v>
                </c:pt>
                <c:pt idx="26">
                  <c:v>83.671000000000006</c:v>
                </c:pt>
                <c:pt idx="27">
                  <c:v>102.273</c:v>
                </c:pt>
                <c:pt idx="28">
                  <c:v>68.864000000000004</c:v>
                </c:pt>
                <c:pt idx="29">
                  <c:v>78.081999999999994</c:v>
                </c:pt>
                <c:pt idx="30">
                  <c:v>75.242000000000004</c:v>
                </c:pt>
                <c:pt idx="31">
                  <c:v>43.128999999999998</c:v>
                </c:pt>
                <c:pt idx="32">
                  <c:v>49.904000000000003</c:v>
                </c:pt>
                <c:pt idx="33">
                  <c:v>45.247</c:v>
                </c:pt>
                <c:pt idx="34">
                  <c:v>62.677</c:v>
                </c:pt>
                <c:pt idx="35">
                  <c:v>76.513999999999996</c:v>
                </c:pt>
                <c:pt idx="36">
                  <c:v>58.551000000000002</c:v>
                </c:pt>
                <c:pt idx="37">
                  <c:v>77.734999999999999</c:v>
                </c:pt>
                <c:pt idx="38">
                  <c:v>90.384</c:v>
                </c:pt>
                <c:pt idx="39">
                  <c:v>54.008000000000003</c:v>
                </c:pt>
                <c:pt idx="40">
                  <c:v>86.501000000000005</c:v>
                </c:pt>
                <c:pt idx="41">
                  <c:v>59.954999999999998</c:v>
                </c:pt>
                <c:pt idx="42">
                  <c:v>106.211</c:v>
                </c:pt>
                <c:pt idx="43">
                  <c:v>76.748000000000005</c:v>
                </c:pt>
                <c:pt idx="44">
                  <c:v>99.986999999999995</c:v>
                </c:pt>
                <c:pt idx="45">
                  <c:v>123.16</c:v>
                </c:pt>
                <c:pt idx="46">
                  <c:v>103.512</c:v>
                </c:pt>
                <c:pt idx="47">
                  <c:v>89.025999999999996</c:v>
                </c:pt>
                <c:pt idx="48">
                  <c:v>86.552999999999997</c:v>
                </c:pt>
                <c:pt idx="49">
                  <c:v>111.577</c:v>
                </c:pt>
                <c:pt idx="50">
                  <c:v>0</c:v>
                </c:pt>
                <c:pt idx="51">
                  <c:v>42.406999999999996</c:v>
                </c:pt>
                <c:pt idx="52">
                  <c:v>65.206000000000003</c:v>
                </c:pt>
                <c:pt idx="53">
                  <c:v>0</c:v>
                </c:pt>
                <c:pt idx="54">
                  <c:v>56.247999999999998</c:v>
                </c:pt>
                <c:pt idx="55">
                  <c:v>42.67</c:v>
                </c:pt>
                <c:pt idx="56">
                  <c:v>38.896000000000001</c:v>
                </c:pt>
                <c:pt idx="57">
                  <c:v>36.631</c:v>
                </c:pt>
                <c:pt idx="58">
                  <c:v>47.353999999999999</c:v>
                </c:pt>
                <c:pt idx="59">
                  <c:v>0</c:v>
                </c:pt>
                <c:pt idx="60">
                  <c:v>88.028000000000006</c:v>
                </c:pt>
                <c:pt idx="61">
                  <c:v>65.408000000000001</c:v>
                </c:pt>
                <c:pt idx="62">
                  <c:v>81.012</c:v>
                </c:pt>
                <c:pt idx="63">
                  <c:v>57.953000000000003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41.552999999999997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42.036999999999999</c:v>
                </c:pt>
                <c:pt idx="82">
                  <c:v>42.877000000000002</c:v>
                </c:pt>
                <c:pt idx="83">
                  <c:v>0</c:v>
                </c:pt>
                <c:pt idx="84">
                  <c:v>50.914000000000001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45.454999999999998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55.054000000000002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37.171999999999997</c:v>
                </c:pt>
                <c:pt idx="106">
                  <c:v>0</c:v>
                </c:pt>
                <c:pt idx="107">
                  <c:v>43.259</c:v>
                </c:pt>
                <c:pt idx="108">
                  <c:v>0</c:v>
                </c:pt>
                <c:pt idx="109">
                  <c:v>45.222999999999999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59.067</c:v>
                </c:pt>
                <c:pt idx="117">
                  <c:v>36.529000000000003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50.914000000000001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42.036999999999999</c:v>
                </c:pt>
                <c:pt idx="150">
                  <c:v>42.877000000000002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45.454999999999998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55.054000000000002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43.259</c:v>
                </c:pt>
                <c:pt idx="167">
                  <c:v>0</c:v>
                </c:pt>
                <c:pt idx="168">
                  <c:v>45.222999999999999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59.067</c:v>
                </c:pt>
                <c:pt idx="175">
                  <c:v>36.529000000000003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BD-4BBE-A7B4-F67F9E76A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26896"/>
        <c:axId val="341530176"/>
      </c:scatterChart>
      <c:valAx>
        <c:axId val="341526896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30176"/>
        <c:crosses val="autoZero"/>
        <c:crossBetween val="midCat"/>
      </c:valAx>
      <c:valAx>
        <c:axId val="341530176"/>
        <c:scaling>
          <c:orientation val="minMax"/>
          <c:max val="140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15268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11205</xdr:colOff>
      <xdr:row>18</xdr:row>
      <xdr:rowOff>45383</xdr:rowOff>
    </xdr:from>
    <xdr:to>
      <xdr:col>40</xdr:col>
      <xdr:colOff>448236</xdr:colOff>
      <xdr:row>31</xdr:row>
      <xdr:rowOff>33618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56029</xdr:colOff>
      <xdr:row>31</xdr:row>
      <xdr:rowOff>168088</xdr:rowOff>
    </xdr:from>
    <xdr:to>
      <xdr:col>40</xdr:col>
      <xdr:colOff>493060</xdr:colOff>
      <xdr:row>44</xdr:row>
      <xdr:rowOff>156323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33618</xdr:colOff>
      <xdr:row>45</xdr:row>
      <xdr:rowOff>78441</xdr:rowOff>
    </xdr:from>
    <xdr:to>
      <xdr:col>40</xdr:col>
      <xdr:colOff>470649</xdr:colOff>
      <xdr:row>58</xdr:row>
      <xdr:rowOff>66676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33618</xdr:colOff>
      <xdr:row>58</xdr:row>
      <xdr:rowOff>134471</xdr:rowOff>
    </xdr:from>
    <xdr:to>
      <xdr:col>40</xdr:col>
      <xdr:colOff>470649</xdr:colOff>
      <xdr:row>71</xdr:row>
      <xdr:rowOff>122706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33617</xdr:colOff>
      <xdr:row>72</xdr:row>
      <xdr:rowOff>112058</xdr:rowOff>
    </xdr:from>
    <xdr:to>
      <xdr:col>40</xdr:col>
      <xdr:colOff>470648</xdr:colOff>
      <xdr:row>85</xdr:row>
      <xdr:rowOff>100293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33617</xdr:colOff>
      <xdr:row>86</xdr:row>
      <xdr:rowOff>44823</xdr:rowOff>
    </xdr:from>
    <xdr:to>
      <xdr:col>40</xdr:col>
      <xdr:colOff>470648</xdr:colOff>
      <xdr:row>99</xdr:row>
      <xdr:rowOff>33058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22412</xdr:colOff>
      <xdr:row>99</xdr:row>
      <xdr:rowOff>134470</xdr:rowOff>
    </xdr:from>
    <xdr:to>
      <xdr:col>40</xdr:col>
      <xdr:colOff>459443</xdr:colOff>
      <xdr:row>112</xdr:row>
      <xdr:rowOff>122705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11206</xdr:colOff>
      <xdr:row>113</xdr:row>
      <xdr:rowOff>22412</xdr:rowOff>
    </xdr:from>
    <xdr:to>
      <xdr:col>40</xdr:col>
      <xdr:colOff>448237</xdr:colOff>
      <xdr:row>126</xdr:row>
      <xdr:rowOff>10647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34</xdr:col>
      <xdr:colOff>0</xdr:colOff>
      <xdr:row>127</xdr:row>
      <xdr:rowOff>0</xdr:rowOff>
    </xdr:from>
    <xdr:to>
      <xdr:col>40</xdr:col>
      <xdr:colOff>437031</xdr:colOff>
      <xdr:row>139</xdr:row>
      <xdr:rowOff>178735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0</xdr:colOff>
      <xdr:row>141</xdr:row>
      <xdr:rowOff>0</xdr:rowOff>
    </xdr:from>
    <xdr:to>
      <xdr:col>40</xdr:col>
      <xdr:colOff>437031</xdr:colOff>
      <xdr:row>153</xdr:row>
      <xdr:rowOff>178735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34</xdr:col>
      <xdr:colOff>0</xdr:colOff>
      <xdr:row>155</xdr:row>
      <xdr:rowOff>0</xdr:rowOff>
    </xdr:from>
    <xdr:to>
      <xdr:col>40</xdr:col>
      <xdr:colOff>437031</xdr:colOff>
      <xdr:row>167</xdr:row>
      <xdr:rowOff>178735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34</xdr:col>
      <xdr:colOff>0</xdr:colOff>
      <xdr:row>169</xdr:row>
      <xdr:rowOff>0</xdr:rowOff>
    </xdr:from>
    <xdr:to>
      <xdr:col>40</xdr:col>
      <xdr:colOff>437031</xdr:colOff>
      <xdr:row>181</xdr:row>
      <xdr:rowOff>178735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183</xdr:row>
      <xdr:rowOff>0</xdr:rowOff>
    </xdr:from>
    <xdr:to>
      <xdr:col>40</xdr:col>
      <xdr:colOff>437031</xdr:colOff>
      <xdr:row>195</xdr:row>
      <xdr:rowOff>178735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34</xdr:col>
      <xdr:colOff>0</xdr:colOff>
      <xdr:row>197</xdr:row>
      <xdr:rowOff>0</xdr:rowOff>
    </xdr:from>
    <xdr:to>
      <xdr:col>40</xdr:col>
      <xdr:colOff>437031</xdr:colOff>
      <xdr:row>209</xdr:row>
      <xdr:rowOff>178735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34</xdr:col>
      <xdr:colOff>0</xdr:colOff>
      <xdr:row>211</xdr:row>
      <xdr:rowOff>0</xdr:rowOff>
    </xdr:from>
    <xdr:to>
      <xdr:col>40</xdr:col>
      <xdr:colOff>437031</xdr:colOff>
      <xdr:row>223</xdr:row>
      <xdr:rowOff>178735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34</xdr:col>
      <xdr:colOff>0</xdr:colOff>
      <xdr:row>225</xdr:row>
      <xdr:rowOff>0</xdr:rowOff>
    </xdr:from>
    <xdr:to>
      <xdr:col>40</xdr:col>
      <xdr:colOff>437031</xdr:colOff>
      <xdr:row>237</xdr:row>
      <xdr:rowOff>178735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0</xdr:row>
      <xdr:rowOff>19050</xdr:rowOff>
    </xdr:from>
    <xdr:to>
      <xdr:col>16</xdr:col>
      <xdr:colOff>504825</xdr:colOff>
      <xdr:row>15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180974</xdr:rowOff>
    </xdr:from>
    <xdr:to>
      <xdr:col>12</xdr:col>
      <xdr:colOff>110109</xdr:colOff>
      <xdr:row>15</xdr:row>
      <xdr:rowOff>104774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0</xdr:row>
      <xdr:rowOff>180974</xdr:rowOff>
    </xdr:from>
    <xdr:to>
      <xdr:col>11</xdr:col>
      <xdr:colOff>500253</xdr:colOff>
      <xdr:row>14</xdr:row>
      <xdr:rowOff>190499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37619</xdr:colOff>
      <xdr:row>1</xdr:row>
      <xdr:rowOff>19210</xdr:rowOff>
    </xdr:from>
    <xdr:to>
      <xdr:col>57</xdr:col>
      <xdr:colOff>259773</xdr:colOff>
      <xdr:row>17</xdr:row>
      <xdr:rowOff>179294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97"/>
  <sheetViews>
    <sheetView zoomScale="85" zoomScaleNormal="85" workbookViewId="0">
      <selection activeCell="A3" sqref="A3:Y187"/>
    </sheetView>
  </sheetViews>
  <sheetFormatPr defaultRowHeight="14.4" x14ac:dyDescent="0.3"/>
  <cols>
    <col min="1" max="1" width="16.109375" style="2" customWidth="1"/>
    <col min="2" max="2" width="16.109375" style="2" hidden="1" customWidth="1"/>
    <col min="3" max="3" width="16.109375" style="2" customWidth="1"/>
    <col min="4" max="4" width="16.109375" style="2" hidden="1" customWidth="1"/>
    <col min="5" max="5" width="18.88671875" style="2" customWidth="1"/>
    <col min="6" max="6" width="18.88671875" style="2" hidden="1" customWidth="1"/>
    <col min="7" max="7" width="15.88671875" style="2" customWidth="1"/>
    <col min="8" max="8" width="15.88671875" style="2" hidden="1" customWidth="1"/>
    <col min="9" max="9" width="10.88671875" style="2" customWidth="1"/>
    <col min="10" max="10" width="10.88671875" style="2" hidden="1" customWidth="1"/>
    <col min="11" max="11" width="12.44140625" style="2" customWidth="1"/>
    <col min="12" max="12" width="12.44140625" style="2" hidden="1" customWidth="1"/>
    <col min="13" max="13" width="13.6640625" style="2" customWidth="1"/>
    <col min="14" max="14" width="13.6640625" style="2" hidden="1" customWidth="1"/>
    <col min="15" max="15" width="11.6640625" style="2" customWidth="1"/>
    <col min="16" max="16" width="11.6640625" style="2" hidden="1" customWidth="1"/>
    <col min="17" max="17" width="11.5546875" style="2" customWidth="1"/>
    <col min="18" max="18" width="11.5546875" style="2" hidden="1" customWidth="1"/>
    <col min="19" max="19" width="9.109375" style="2"/>
    <col min="20" max="20" width="0" style="2" hidden="1" customWidth="1"/>
    <col min="21" max="21" width="9.109375" style="2"/>
    <col min="22" max="22" width="0" style="2" hidden="1" customWidth="1"/>
    <col min="23" max="23" width="11" style="2" customWidth="1"/>
    <col min="24" max="24" width="11" style="2" hidden="1" customWidth="1"/>
    <col min="25" max="25" width="12.88671875" style="2" customWidth="1"/>
    <col min="26" max="26" width="12.88671875" style="2" hidden="1" customWidth="1"/>
    <col min="27" max="27" width="12.44140625" style="2" customWidth="1"/>
    <col min="28" max="28" width="12.44140625" style="2" hidden="1" customWidth="1"/>
    <col min="29" max="29" width="16.6640625" style="2" customWidth="1"/>
    <col min="30" max="30" width="0" hidden="1" customWidth="1"/>
    <col min="31" max="31" width="11.33203125" customWidth="1"/>
    <col min="32" max="32" width="0" hidden="1" customWidth="1"/>
    <col min="33" max="33" width="9.109375"/>
    <col min="35" max="35" width="15.5546875" style="2" customWidth="1"/>
    <col min="36" max="36" width="9.109375" style="2"/>
    <col min="37" max="37" width="9.109375" style="2" customWidth="1"/>
    <col min="38" max="41" width="9.109375" style="2"/>
    <col min="44" max="44" width="11.5546875" customWidth="1"/>
  </cols>
  <sheetData>
    <row r="1" spans="1:53" s="4" customFormat="1" ht="86.4" x14ac:dyDescent="0.3">
      <c r="A1" s="3" t="s">
        <v>11</v>
      </c>
      <c r="B1" s="3" t="s">
        <v>58</v>
      </c>
      <c r="C1" s="3" t="s">
        <v>2</v>
      </c>
      <c r="D1" s="3" t="s">
        <v>59</v>
      </c>
      <c r="E1" s="3" t="s">
        <v>3</v>
      </c>
      <c r="F1" s="3" t="s">
        <v>60</v>
      </c>
      <c r="G1" s="3" t="s">
        <v>4</v>
      </c>
      <c r="H1" s="3" t="s">
        <v>61</v>
      </c>
      <c r="I1" s="3" t="s">
        <v>5</v>
      </c>
      <c r="J1" s="3" t="s">
        <v>62</v>
      </c>
      <c r="K1" s="3" t="s">
        <v>7</v>
      </c>
      <c r="L1" s="3" t="s">
        <v>63</v>
      </c>
      <c r="M1" s="3" t="s">
        <v>8</v>
      </c>
      <c r="N1" s="3" t="s">
        <v>64</v>
      </c>
      <c r="O1" s="3" t="s">
        <v>9</v>
      </c>
      <c r="P1" s="3" t="s">
        <v>65</v>
      </c>
      <c r="Q1" s="3" t="s">
        <v>10</v>
      </c>
      <c r="R1" s="3" t="s">
        <v>66</v>
      </c>
      <c r="S1" s="3" t="s">
        <v>12</v>
      </c>
      <c r="T1" s="3" t="s">
        <v>67</v>
      </c>
      <c r="U1" s="3" t="s">
        <v>13</v>
      </c>
      <c r="V1" s="3" t="s">
        <v>68</v>
      </c>
      <c r="W1" s="3" t="s">
        <v>14</v>
      </c>
      <c r="X1" s="3" t="s">
        <v>69</v>
      </c>
      <c r="Y1" s="3" t="s">
        <v>15</v>
      </c>
      <c r="Z1" s="3" t="s">
        <v>70</v>
      </c>
      <c r="AA1" s="3" t="s">
        <v>17</v>
      </c>
      <c r="AB1" s="3" t="s">
        <v>71</v>
      </c>
      <c r="AC1" s="3" t="s">
        <v>16</v>
      </c>
      <c r="AD1" s="3" t="s">
        <v>72</v>
      </c>
      <c r="AE1" s="3" t="s">
        <v>81</v>
      </c>
      <c r="AF1" s="3" t="s">
        <v>83</v>
      </c>
      <c r="AG1" s="3"/>
      <c r="AI1" s="90" t="s">
        <v>38</v>
      </c>
      <c r="AJ1" s="90"/>
      <c r="AK1" s="90"/>
      <c r="AL1" s="90"/>
      <c r="AM1" s="90"/>
      <c r="AN1" s="90"/>
      <c r="AO1" s="90"/>
    </row>
    <row r="2" spans="1:53" s="4" customFormat="1" ht="28.8" x14ac:dyDescent="0.3">
      <c r="A2" s="3" t="s">
        <v>18</v>
      </c>
      <c r="B2" s="3"/>
      <c r="C2" s="3" t="s">
        <v>19</v>
      </c>
      <c r="D2" s="3"/>
      <c r="E2" s="3" t="s">
        <v>20</v>
      </c>
      <c r="F2" s="3"/>
      <c r="G2" s="3" t="s">
        <v>21</v>
      </c>
      <c r="H2" s="3"/>
      <c r="I2" s="3" t="s">
        <v>6</v>
      </c>
      <c r="J2" s="3"/>
      <c r="K2" s="3" t="s">
        <v>22</v>
      </c>
      <c r="L2" s="3"/>
      <c r="M2" s="3" t="s">
        <v>23</v>
      </c>
      <c r="N2" s="3"/>
      <c r="O2" s="3" t="s">
        <v>24</v>
      </c>
      <c r="P2" s="3"/>
      <c r="Q2" s="3" t="s">
        <v>25</v>
      </c>
      <c r="R2" s="3"/>
      <c r="S2" s="3" t="s">
        <v>26</v>
      </c>
      <c r="T2" s="3"/>
      <c r="U2" s="3" t="s">
        <v>31</v>
      </c>
      <c r="V2" s="3"/>
      <c r="W2" s="3" t="s">
        <v>27</v>
      </c>
      <c r="X2" s="3"/>
      <c r="Y2" s="3" t="s">
        <v>28</v>
      </c>
      <c r="Z2" s="3"/>
      <c r="AA2" s="3" t="s">
        <v>29</v>
      </c>
      <c r="AB2" s="3"/>
      <c r="AC2" s="3" t="s">
        <v>30</v>
      </c>
      <c r="AE2" s="3" t="s">
        <v>82</v>
      </c>
      <c r="AI2" s="3" t="s">
        <v>32</v>
      </c>
      <c r="AJ2" s="3" t="s">
        <v>0</v>
      </c>
      <c r="AK2" s="3" t="s">
        <v>33</v>
      </c>
      <c r="AL2" s="3" t="s">
        <v>34</v>
      </c>
      <c r="AM2" s="3" t="s">
        <v>35</v>
      </c>
      <c r="AN2" s="3" t="s">
        <v>44</v>
      </c>
      <c r="AO2" s="3" t="s">
        <v>36</v>
      </c>
      <c r="AP2" s="3" t="s">
        <v>37</v>
      </c>
      <c r="AQ2" s="3" t="s">
        <v>0</v>
      </c>
      <c r="AR2" s="3" t="s">
        <v>39</v>
      </c>
      <c r="AS2" s="3" t="s">
        <v>36</v>
      </c>
      <c r="AT2" s="3" t="s">
        <v>37</v>
      </c>
      <c r="AU2" s="3" t="s">
        <v>43</v>
      </c>
      <c r="AV2" s="3"/>
      <c r="AW2" s="3"/>
      <c r="AX2" s="3"/>
      <c r="AY2" s="3"/>
      <c r="AZ2" s="3"/>
      <c r="BA2" s="3"/>
    </row>
    <row r="3" spans="1:53" x14ac:dyDescent="0.3">
      <c r="A3" s="6">
        <v>720</v>
      </c>
      <c r="B3" s="6" t="b">
        <f>OR(A3&lt;$A$197,A3&gt;$A$196)</f>
        <v>0</v>
      </c>
      <c r="C3" s="6">
        <v>5</v>
      </c>
      <c r="D3" s="6" t="b">
        <f>OR(C3&lt;$C$197,C3&gt;$C$196)</f>
        <v>0</v>
      </c>
      <c r="E3" s="6">
        <v>2</v>
      </c>
      <c r="F3" s="6" t="b">
        <f>OR(E3&lt;$E$197,E3&gt;$E$196)</f>
        <v>0</v>
      </c>
      <c r="G3" s="6">
        <v>350</v>
      </c>
      <c r="H3" s="6" t="b">
        <f>OR(G3&lt;$G$197,G3&gt;$G$196)</f>
        <v>0</v>
      </c>
      <c r="I3" s="6">
        <v>1.75</v>
      </c>
      <c r="J3" s="6" t="b">
        <f>OR(I3&lt;$I$197,I3&gt;$I$196)</f>
        <v>0</v>
      </c>
      <c r="K3" s="6">
        <v>0.83899999999999997</v>
      </c>
      <c r="L3" s="6" t="b">
        <f>OR(K3&lt;$K$197,K3&gt;$K$196)</f>
        <v>0</v>
      </c>
      <c r="M3" s="6">
        <v>134.59</v>
      </c>
      <c r="N3" s="6" t="b">
        <f>OR(M3&lt;$M$197,M3&gt;$M$196)</f>
        <v>0</v>
      </c>
      <c r="O3" s="6">
        <v>69.7</v>
      </c>
      <c r="P3" s="6" t="b">
        <f>OR(O3&lt;$O$197,O3&gt;$O$196)</f>
        <v>0</v>
      </c>
      <c r="Q3" s="6">
        <v>186.6</v>
      </c>
      <c r="R3" s="6" t="b">
        <f>OR(Q3&lt;$Q$197,Q3&gt;$Q$196)</f>
        <v>0</v>
      </c>
      <c r="S3" s="6">
        <v>36.5</v>
      </c>
      <c r="T3" s="6" t="b">
        <f>OR(S3&lt;$S$197,S3&gt;$S$196)</f>
        <v>0</v>
      </c>
      <c r="U3" s="6">
        <v>3.8999999999999998E-3</v>
      </c>
      <c r="V3" s="6" t="b">
        <f>OR(U3&lt;$U$197,U3&gt;$U$196)</f>
        <v>0</v>
      </c>
      <c r="W3" s="6">
        <v>65</v>
      </c>
      <c r="X3" s="6" t="b">
        <f>OR(W3&lt;$W$197,W3&gt;$W$196)</f>
        <v>0</v>
      </c>
      <c r="Y3" s="6">
        <v>285</v>
      </c>
      <c r="Z3" s="6" t="b">
        <f>OR(Y3&lt;$Y$197,Y3&gt;$Y$196)</f>
        <v>0</v>
      </c>
      <c r="AA3" s="6">
        <v>55.158999999999999</v>
      </c>
      <c r="AB3" s="6" t="b">
        <f>OR(AA3&lt;$AA$197,AA3&gt;$AA$196)</f>
        <v>0</v>
      </c>
      <c r="AC3" s="6">
        <v>51.655000000000001</v>
      </c>
      <c r="AD3" s="8" t="b">
        <f>OR(AC3&lt;$AC$197,AC3&gt;$AC$196)</f>
        <v>0</v>
      </c>
      <c r="AE3" s="8">
        <f>AA3-AC3</f>
        <v>3.5039999999999978</v>
      </c>
      <c r="AF3" t="b">
        <f>OR(AE3&lt;$AE$197,AE3&gt;$AE$196)</f>
        <v>0</v>
      </c>
      <c r="AH3" s="1" t="s">
        <v>46</v>
      </c>
      <c r="AI3" s="3" t="s">
        <v>18</v>
      </c>
      <c r="AJ3" s="2">
        <v>185</v>
      </c>
      <c r="AK3" s="5">
        <f>A189</f>
        <v>170</v>
      </c>
      <c r="AL3" s="5">
        <f>A190</f>
        <v>750</v>
      </c>
      <c r="AM3" s="5">
        <f>A191</f>
        <v>477.04864864864862</v>
      </c>
      <c r="AN3" s="5">
        <f>A192</f>
        <v>480</v>
      </c>
      <c r="AO3" s="2">
        <f>COUNTIF(A3:A187,"")</f>
        <v>0</v>
      </c>
      <c r="AP3" s="2">
        <f>COUNTIF(B3:B187,TRUE)</f>
        <v>0</v>
      </c>
      <c r="AQ3" s="2">
        <v>185</v>
      </c>
      <c r="AR3" s="2"/>
      <c r="AS3" s="2"/>
      <c r="AT3" s="2"/>
      <c r="AU3" s="2">
        <f>_xlfn.STDEV.S(A3:A187)</f>
        <v>186.15054336305218</v>
      </c>
    </row>
    <row r="4" spans="1:53" x14ac:dyDescent="0.3">
      <c r="A4" s="6">
        <v>700</v>
      </c>
      <c r="B4" s="6" t="b">
        <f t="shared" ref="B4:B67" si="0">OR(A4&lt;$A$197,A4&gt;$A$196)</f>
        <v>0</v>
      </c>
      <c r="C4" s="6">
        <v>5</v>
      </c>
      <c r="D4" s="6" t="b">
        <f t="shared" ref="D4:D67" si="1">OR(C4&lt;$C$197,C4&gt;$C$196)</f>
        <v>0</v>
      </c>
      <c r="E4" s="6">
        <v>4</v>
      </c>
      <c r="F4" s="6" t="b">
        <f t="shared" ref="F4:F67" si="2">OR(E4&lt;$E$197,E4&gt;$E$196)</f>
        <v>0</v>
      </c>
      <c r="G4" s="6">
        <v>360</v>
      </c>
      <c r="H4" s="6" t="b">
        <f t="shared" ref="H4:H67" si="3">OR(G4&lt;$G$197,G4&gt;$G$196)</f>
        <v>0</v>
      </c>
      <c r="I4" s="6">
        <v>0.6</v>
      </c>
      <c r="J4" s="6" t="b">
        <f t="shared" ref="J4:J67" si="4">OR(I4&lt;$I$197,I4&gt;$I$196)</f>
        <v>0</v>
      </c>
      <c r="K4" s="6">
        <v>0.73</v>
      </c>
      <c r="L4" s="6" t="b">
        <f t="shared" ref="L4:L67" si="5">OR(K4&lt;$K$197,K4&gt;$K$196)</f>
        <v>0</v>
      </c>
      <c r="M4" s="6">
        <v>229.38</v>
      </c>
      <c r="N4" s="6" t="b">
        <f t="shared" ref="N4:N67" si="6">OR(M4&lt;$M$197,M4&gt;$M$196)</f>
        <v>0</v>
      </c>
      <c r="O4" s="6">
        <v>60.8</v>
      </c>
      <c r="P4" s="6" t="b">
        <f t="shared" ref="P4:P67" si="7">OR(O4&lt;$O$197,O4&gt;$O$196)</f>
        <v>0</v>
      </c>
      <c r="Q4" s="6">
        <v>121.7</v>
      </c>
      <c r="R4" s="6" t="b">
        <f t="shared" ref="R4:R67" si="8">OR(Q4&lt;$Q$197,Q4&gt;$Q$196)</f>
        <v>0</v>
      </c>
      <c r="S4" s="6">
        <v>38.24</v>
      </c>
      <c r="T4" s="6" t="b">
        <f t="shared" ref="T4:T67" si="9">OR(S4&lt;$S$197,S4&gt;$S$196)</f>
        <v>0</v>
      </c>
      <c r="U4" s="6">
        <v>4.0899999999999999E-3</v>
      </c>
      <c r="V4" s="6" t="b">
        <f t="shared" ref="V4:V67" si="10">OR(U4&lt;$U$197,U4&gt;$U$196)</f>
        <v>0</v>
      </c>
      <c r="W4" s="6">
        <v>0</v>
      </c>
      <c r="X4" s="6" t="b">
        <f t="shared" ref="X4:X67" si="11">OR(W4&lt;$W$197,W4&gt;$W$196)</f>
        <v>1</v>
      </c>
      <c r="Y4" s="6">
        <v>360</v>
      </c>
      <c r="Z4" s="6" t="b">
        <f t="shared" ref="Z4:Z67" si="12">OR(Y4&lt;$Y$197,Y4&gt;$Y$196)</f>
        <v>0</v>
      </c>
      <c r="AA4" s="6">
        <v>131.84899999999999</v>
      </c>
      <c r="AB4" s="6" t="b">
        <f t="shared" ref="AB4:AB67" si="13">OR(AA4&lt;$AA$197,AA4&gt;$AA$196)</f>
        <v>0</v>
      </c>
      <c r="AC4" s="6">
        <v>94.090999999999994</v>
      </c>
      <c r="AD4" s="8" t="b">
        <f t="shared" ref="AD4:AD67" si="14">OR(AC4&lt;$AC$197,AC4&gt;$AC$196)</f>
        <v>0</v>
      </c>
      <c r="AE4" s="8">
        <f t="shared" ref="AE4:AE67" si="15">AA4-AC4</f>
        <v>37.757999999999996</v>
      </c>
      <c r="AF4" t="b">
        <f t="shared" ref="AF4:AF67" si="16">OR(AE4&lt;$AE$197,AE4&gt;$AE$196)</f>
        <v>0</v>
      </c>
      <c r="AH4" t="s">
        <v>47</v>
      </c>
      <c r="AI4" s="3" t="s">
        <v>19</v>
      </c>
      <c r="AJ4" s="2">
        <v>185</v>
      </c>
      <c r="AK4" s="5">
        <f>C189</f>
        <v>3</v>
      </c>
      <c r="AL4" s="5">
        <f>C190</f>
        <v>11</v>
      </c>
      <c r="AM4" s="5">
        <f>C191</f>
        <v>4.9513513513513514</v>
      </c>
      <c r="AN4" s="5">
        <f>C192</f>
        <v>5</v>
      </c>
      <c r="AO4" s="2">
        <f>COUNTIF(C3:C187,"")</f>
        <v>0</v>
      </c>
      <c r="AP4" s="2">
        <f>COUNTIF(D3:D187,TRUE)</f>
        <v>25</v>
      </c>
      <c r="AQ4" s="2">
        <v>185</v>
      </c>
      <c r="AR4" s="2"/>
      <c r="AS4" s="2"/>
      <c r="AT4" s="2"/>
      <c r="AU4" s="2">
        <f>_xlfn.STDEV.S(C3:C187)</f>
        <v>2.2872070519975676</v>
      </c>
    </row>
    <row r="5" spans="1:53" x14ac:dyDescent="0.3">
      <c r="A5" s="6">
        <v>660</v>
      </c>
      <c r="B5" s="6" t="b">
        <f t="shared" si="0"/>
        <v>0</v>
      </c>
      <c r="C5" s="6">
        <v>5</v>
      </c>
      <c r="D5" s="6" t="b">
        <f t="shared" si="1"/>
        <v>0</v>
      </c>
      <c r="E5" s="6">
        <v>1.4</v>
      </c>
      <c r="F5" s="6" t="b">
        <f t="shared" si="2"/>
        <v>0</v>
      </c>
      <c r="G5" s="6">
        <v>345</v>
      </c>
      <c r="H5" s="6" t="b">
        <f t="shared" si="3"/>
        <v>0</v>
      </c>
      <c r="I5" s="6">
        <v>1.8</v>
      </c>
      <c r="J5" s="6" t="b">
        <f t="shared" si="4"/>
        <v>0</v>
      </c>
      <c r="K5" s="6">
        <v>0.73</v>
      </c>
      <c r="L5" s="6" t="b">
        <f t="shared" si="5"/>
        <v>0</v>
      </c>
      <c r="M5" s="6">
        <v>329.33</v>
      </c>
      <c r="N5" s="6" t="b">
        <f t="shared" si="6"/>
        <v>0</v>
      </c>
      <c r="O5" s="6">
        <v>50</v>
      </c>
      <c r="P5" s="6" t="b">
        <f t="shared" si="7"/>
        <v>0</v>
      </c>
      <c r="Q5" s="6">
        <v>142</v>
      </c>
      <c r="R5" s="6" t="b">
        <f t="shared" si="8"/>
        <v>0</v>
      </c>
      <c r="S5" s="6">
        <v>29</v>
      </c>
      <c r="T5" s="6" t="b">
        <f t="shared" si="9"/>
        <v>0</v>
      </c>
      <c r="U5" s="6">
        <v>5.0000000000000001E-3</v>
      </c>
      <c r="V5" s="6" t="b">
        <f t="shared" si="10"/>
        <v>0</v>
      </c>
      <c r="W5" s="6">
        <v>65</v>
      </c>
      <c r="X5" s="6" t="b">
        <f t="shared" si="11"/>
        <v>0</v>
      </c>
      <c r="Y5" s="6">
        <v>280</v>
      </c>
      <c r="Z5" s="6" t="b">
        <f t="shared" si="12"/>
        <v>0</v>
      </c>
      <c r="AA5" s="6">
        <v>39.957000000000001</v>
      </c>
      <c r="AB5" s="6" t="b">
        <f t="shared" si="13"/>
        <v>0</v>
      </c>
      <c r="AC5" s="6">
        <v>24.562999999999999</v>
      </c>
      <c r="AD5" s="8" t="b">
        <f t="shared" si="14"/>
        <v>0</v>
      </c>
      <c r="AE5" s="8">
        <f t="shared" si="15"/>
        <v>15.394000000000002</v>
      </c>
      <c r="AF5" t="b">
        <f t="shared" si="16"/>
        <v>0</v>
      </c>
      <c r="AH5" s="1" t="s">
        <v>48</v>
      </c>
      <c r="AI5" s="3" t="s">
        <v>20</v>
      </c>
      <c r="AJ5" s="2">
        <v>185</v>
      </c>
      <c r="AK5" s="5">
        <f>E189</f>
        <v>0.8</v>
      </c>
      <c r="AL5" s="5">
        <f>E190</f>
        <v>17</v>
      </c>
      <c r="AM5" s="5">
        <f>E191</f>
        <v>5.6659459459459462</v>
      </c>
      <c r="AN5" s="5">
        <f>E192</f>
        <v>5</v>
      </c>
      <c r="AO5" s="2">
        <f>COUNTIF(E3:E187,"")</f>
        <v>0</v>
      </c>
      <c r="AP5" s="2">
        <f>COUNTIF(F3:F187,TRUE)</f>
        <v>8</v>
      </c>
      <c r="AQ5" s="2">
        <v>185</v>
      </c>
      <c r="AR5" s="2"/>
      <c r="AS5" s="2"/>
      <c r="AT5" s="2"/>
      <c r="AU5" s="2">
        <f>_xlfn.STDEV.S(E3:E187)</f>
        <v>3.3373181919699513</v>
      </c>
    </row>
    <row r="6" spans="1:53" x14ac:dyDescent="0.3">
      <c r="A6" s="6">
        <v>650</v>
      </c>
      <c r="B6" s="6" t="b">
        <f t="shared" si="0"/>
        <v>0</v>
      </c>
      <c r="C6" s="6">
        <v>5</v>
      </c>
      <c r="D6" s="6" t="b">
        <f t="shared" si="1"/>
        <v>0</v>
      </c>
      <c r="E6" s="6">
        <v>1.9</v>
      </c>
      <c r="F6" s="6" t="b">
        <f t="shared" si="2"/>
        <v>0</v>
      </c>
      <c r="G6" s="6">
        <v>335</v>
      </c>
      <c r="H6" s="6" t="b">
        <f t="shared" si="3"/>
        <v>0</v>
      </c>
      <c r="I6" s="6">
        <v>2</v>
      </c>
      <c r="J6" s="6" t="b">
        <f t="shared" si="4"/>
        <v>0</v>
      </c>
      <c r="K6" s="6">
        <v>0.7</v>
      </c>
      <c r="L6" s="6" t="b">
        <f t="shared" si="5"/>
        <v>0</v>
      </c>
      <c r="M6" s="6">
        <v>307.7</v>
      </c>
      <c r="N6" s="6" t="b">
        <f t="shared" si="6"/>
        <v>0</v>
      </c>
      <c r="O6" s="6">
        <v>50</v>
      </c>
      <c r="P6" s="6" t="b">
        <f t="shared" si="7"/>
        <v>0</v>
      </c>
      <c r="Q6" s="6">
        <v>133.36000000000001</v>
      </c>
      <c r="R6" s="6" t="b">
        <f t="shared" si="8"/>
        <v>0</v>
      </c>
      <c r="S6" s="6">
        <v>40.338999999999999</v>
      </c>
      <c r="T6" s="6" t="b">
        <f t="shared" si="9"/>
        <v>0</v>
      </c>
      <c r="U6" s="6">
        <v>2.6760999999999998E-3</v>
      </c>
      <c r="V6" s="6" t="b">
        <f t="shared" si="10"/>
        <v>0</v>
      </c>
      <c r="W6" s="6">
        <v>65</v>
      </c>
      <c r="X6" s="6" t="b">
        <f t="shared" si="11"/>
        <v>0</v>
      </c>
      <c r="Y6" s="6">
        <v>270</v>
      </c>
      <c r="Z6" s="6" t="b">
        <f t="shared" si="12"/>
        <v>0</v>
      </c>
      <c r="AA6" s="6">
        <v>52.427999999999997</v>
      </c>
      <c r="AB6" s="6" t="b">
        <f t="shared" si="13"/>
        <v>0</v>
      </c>
      <c r="AC6" s="6">
        <v>44.103000000000002</v>
      </c>
      <c r="AD6" s="8" t="b">
        <f t="shared" si="14"/>
        <v>0</v>
      </c>
      <c r="AE6" s="8">
        <f t="shared" si="15"/>
        <v>8.3249999999999957</v>
      </c>
      <c r="AF6" t="b">
        <f t="shared" si="16"/>
        <v>0</v>
      </c>
      <c r="AH6" t="s">
        <v>49</v>
      </c>
      <c r="AI6" s="3" t="s">
        <v>21</v>
      </c>
      <c r="AJ6" s="2">
        <v>185</v>
      </c>
      <c r="AK6" s="5">
        <f>G189</f>
        <v>0</v>
      </c>
      <c r="AL6" s="5">
        <f>G190</f>
        <v>461</v>
      </c>
      <c r="AM6" s="5">
        <f>G191</f>
        <v>229.18378378378378</v>
      </c>
      <c r="AN6" s="5">
        <f>G192</f>
        <v>165</v>
      </c>
      <c r="AO6" s="2">
        <f>COUNTIF(G3:G187,"")</f>
        <v>0</v>
      </c>
      <c r="AP6" s="2">
        <f>COUNTIF(H3:H187,TRUE)</f>
        <v>0</v>
      </c>
      <c r="AQ6" s="2">
        <v>185</v>
      </c>
      <c r="AR6" s="2"/>
      <c r="AS6" s="2"/>
      <c r="AT6" s="2"/>
      <c r="AU6" s="2">
        <f>_xlfn.STDEV.S(G3:G187)</f>
        <v>112.59541247101593</v>
      </c>
    </row>
    <row r="7" spans="1:53" x14ac:dyDescent="0.3">
      <c r="A7" s="6">
        <v>675</v>
      </c>
      <c r="B7" s="6" t="b">
        <f t="shared" si="0"/>
        <v>0</v>
      </c>
      <c r="C7" s="6">
        <v>5</v>
      </c>
      <c r="D7" s="6" t="b">
        <f t="shared" si="1"/>
        <v>0</v>
      </c>
      <c r="E7" s="6">
        <v>1.5</v>
      </c>
      <c r="F7" s="6" t="b">
        <f t="shared" si="2"/>
        <v>0</v>
      </c>
      <c r="G7" s="6">
        <v>325</v>
      </c>
      <c r="H7" s="6" t="b">
        <f t="shared" si="3"/>
        <v>0</v>
      </c>
      <c r="I7" s="6">
        <v>1.5</v>
      </c>
      <c r="J7" s="6" t="b">
        <f t="shared" si="4"/>
        <v>0</v>
      </c>
      <c r="K7" s="6">
        <v>0.73</v>
      </c>
      <c r="L7" s="6" t="b">
        <f t="shared" si="5"/>
        <v>0</v>
      </c>
      <c r="M7" s="6">
        <v>154.51</v>
      </c>
      <c r="N7" s="6" t="b">
        <f t="shared" si="6"/>
        <v>0</v>
      </c>
      <c r="O7" s="6">
        <v>50</v>
      </c>
      <c r="P7" s="6" t="b">
        <f t="shared" si="7"/>
        <v>0</v>
      </c>
      <c r="Q7" s="6">
        <v>161.1</v>
      </c>
      <c r="R7" s="6" t="b">
        <f t="shared" si="8"/>
        <v>0</v>
      </c>
      <c r="S7" s="6">
        <v>38.764000000000003</v>
      </c>
      <c r="T7" s="6" t="b">
        <f t="shared" si="9"/>
        <v>0</v>
      </c>
      <c r="U7" s="6">
        <v>3.3999999999999998E-3</v>
      </c>
      <c r="V7" s="6" t="s">
        <v>73</v>
      </c>
      <c r="W7" s="6">
        <v>65</v>
      </c>
      <c r="X7" s="6" t="b">
        <f t="shared" si="11"/>
        <v>0</v>
      </c>
      <c r="Y7" s="6">
        <v>260</v>
      </c>
      <c r="Z7" s="6" t="b">
        <f t="shared" si="12"/>
        <v>0</v>
      </c>
      <c r="AA7" s="6">
        <v>57.533000000000001</v>
      </c>
      <c r="AB7" s="6" t="b">
        <f t="shared" si="13"/>
        <v>0</v>
      </c>
      <c r="AC7" s="6">
        <v>44.581000000000003</v>
      </c>
      <c r="AD7" s="8" t="b">
        <f t="shared" si="14"/>
        <v>0</v>
      </c>
      <c r="AE7" s="8">
        <f t="shared" si="15"/>
        <v>12.951999999999998</v>
      </c>
      <c r="AF7" t="b">
        <f t="shared" si="16"/>
        <v>0</v>
      </c>
      <c r="AH7" s="1" t="s">
        <v>50</v>
      </c>
      <c r="AI7" s="3" t="s">
        <v>6</v>
      </c>
      <c r="AJ7" s="2">
        <v>185</v>
      </c>
      <c r="AK7" s="5">
        <f>I189</f>
        <v>0.2</v>
      </c>
      <c r="AL7" s="5">
        <f>I190</f>
        <v>13.1</v>
      </c>
      <c r="AM7" s="5">
        <f>I191</f>
        <v>2.6968648648648652</v>
      </c>
      <c r="AN7" s="5">
        <f>I192</f>
        <v>2.2999999999999998</v>
      </c>
      <c r="AO7" s="2">
        <f>COUNTIF(I3:I187,"")</f>
        <v>0</v>
      </c>
      <c r="AP7" s="2">
        <f>COUNTIF(J3:J187,TRUE)</f>
        <v>4</v>
      </c>
      <c r="AQ7" s="2">
        <v>185</v>
      </c>
      <c r="AR7" s="2"/>
      <c r="AS7" s="2"/>
      <c r="AT7" s="2"/>
      <c r="AU7" s="2">
        <f>_xlfn.STDEV.S(I3:I187)</f>
        <v>2.0328521696364854</v>
      </c>
    </row>
    <row r="8" spans="1:53" x14ac:dyDescent="0.3">
      <c r="A8" s="6">
        <v>680</v>
      </c>
      <c r="B8" s="6" t="b">
        <f t="shared" si="0"/>
        <v>0</v>
      </c>
      <c r="C8" s="6">
        <v>5</v>
      </c>
      <c r="D8" s="6" t="b">
        <f t="shared" si="1"/>
        <v>0</v>
      </c>
      <c r="E8" s="6">
        <v>1.5</v>
      </c>
      <c r="F8" s="6" t="b">
        <f t="shared" si="2"/>
        <v>0</v>
      </c>
      <c r="G8" s="6">
        <v>280</v>
      </c>
      <c r="H8" s="6" t="b">
        <f t="shared" si="3"/>
        <v>0</v>
      </c>
      <c r="I8" s="6">
        <v>1.8</v>
      </c>
      <c r="J8" s="6" t="b">
        <f t="shared" si="4"/>
        <v>0</v>
      </c>
      <c r="K8" s="6">
        <v>0.73</v>
      </c>
      <c r="L8" s="6" t="b">
        <f t="shared" si="5"/>
        <v>0</v>
      </c>
      <c r="M8" s="6">
        <v>56.85</v>
      </c>
      <c r="N8" s="6" t="b">
        <f t="shared" si="6"/>
        <v>0</v>
      </c>
      <c r="O8" s="6">
        <v>50</v>
      </c>
      <c r="P8" s="6" t="b">
        <f t="shared" si="7"/>
        <v>0</v>
      </c>
      <c r="Q8" s="6">
        <v>171.07</v>
      </c>
      <c r="R8" s="6" t="b">
        <f t="shared" si="8"/>
        <v>0</v>
      </c>
      <c r="S8" s="6">
        <v>28.678000000000001</v>
      </c>
      <c r="T8" s="6" t="b">
        <f t="shared" si="9"/>
        <v>0</v>
      </c>
      <c r="U8" s="6">
        <v>3.2152999999999999E-3</v>
      </c>
      <c r="V8" s="6" t="b">
        <f t="shared" si="10"/>
        <v>0</v>
      </c>
      <c r="W8" s="6">
        <v>65</v>
      </c>
      <c r="X8" s="6" t="b">
        <f t="shared" si="11"/>
        <v>0</v>
      </c>
      <c r="Y8" s="6">
        <v>215</v>
      </c>
      <c r="Z8" s="6" t="b">
        <f t="shared" si="12"/>
        <v>0</v>
      </c>
      <c r="AA8" s="6">
        <v>64.39</v>
      </c>
      <c r="AB8" s="6" t="b">
        <f t="shared" si="13"/>
        <v>0</v>
      </c>
      <c r="AC8" s="6">
        <v>49.850999999999999</v>
      </c>
      <c r="AD8" s="8" t="b">
        <f t="shared" si="14"/>
        <v>0</v>
      </c>
      <c r="AE8" s="8">
        <f t="shared" si="15"/>
        <v>14.539000000000001</v>
      </c>
      <c r="AF8" t="b">
        <f t="shared" si="16"/>
        <v>0</v>
      </c>
      <c r="AH8" t="s">
        <v>1</v>
      </c>
      <c r="AI8" s="3" t="s">
        <v>22</v>
      </c>
      <c r="AJ8" s="2">
        <v>185</v>
      </c>
      <c r="AK8" s="5">
        <f>K189</f>
        <v>0.26</v>
      </c>
      <c r="AL8" s="5">
        <f>K190</f>
        <v>2.94</v>
      </c>
      <c r="AM8" s="5">
        <f>K191</f>
        <v>2.0794162162162149</v>
      </c>
      <c r="AN8" s="5">
        <f>K192</f>
        <v>2.94</v>
      </c>
      <c r="AO8" s="2">
        <f>COUNTIF(K3:K187,"")</f>
        <v>0</v>
      </c>
      <c r="AP8" s="2">
        <f>COUNTIF(L3:L187,TRUE)</f>
        <v>0</v>
      </c>
      <c r="AQ8" s="2">
        <v>185</v>
      </c>
      <c r="AR8" s="2"/>
      <c r="AS8" s="2"/>
      <c r="AT8" s="2"/>
      <c r="AU8" s="2">
        <f>_xlfn.STDEV.S(K3:K187)</f>
        <v>1.0844036303108071</v>
      </c>
    </row>
    <row r="9" spans="1:53" x14ac:dyDescent="0.3">
      <c r="A9" s="6">
        <v>670</v>
      </c>
      <c r="B9" s="6" t="b">
        <f t="shared" si="0"/>
        <v>0</v>
      </c>
      <c r="C9" s="6">
        <v>5</v>
      </c>
      <c r="D9" s="6" t="b">
        <f t="shared" si="1"/>
        <v>0</v>
      </c>
      <c r="E9" s="6">
        <v>2.2000000000000002</v>
      </c>
      <c r="F9" s="6" t="b">
        <f t="shared" si="2"/>
        <v>0</v>
      </c>
      <c r="G9" s="6">
        <v>323</v>
      </c>
      <c r="H9" s="6" t="b">
        <f t="shared" si="3"/>
        <v>0</v>
      </c>
      <c r="I9" s="6">
        <v>1.8</v>
      </c>
      <c r="J9" s="6" t="b">
        <f t="shared" si="4"/>
        <v>0</v>
      </c>
      <c r="K9" s="6">
        <v>0.73</v>
      </c>
      <c r="L9" s="6" t="b">
        <f t="shared" si="5"/>
        <v>0</v>
      </c>
      <c r="M9" s="6">
        <v>312.54000000000002</v>
      </c>
      <c r="N9" s="6" t="b">
        <f t="shared" si="6"/>
        <v>0</v>
      </c>
      <c r="O9" s="6">
        <v>50</v>
      </c>
      <c r="P9" s="6" t="b">
        <f t="shared" si="7"/>
        <v>0</v>
      </c>
      <c r="Q9" s="6">
        <v>119.57</v>
      </c>
      <c r="R9" s="6" t="b">
        <f t="shared" si="8"/>
        <v>0</v>
      </c>
      <c r="S9" s="6">
        <v>33.802999999999997</v>
      </c>
      <c r="T9" s="6" t="b">
        <f t="shared" si="9"/>
        <v>0</v>
      </c>
      <c r="U9" s="6">
        <v>4.3206E-3</v>
      </c>
      <c r="V9" s="6" t="b">
        <f t="shared" si="10"/>
        <v>0</v>
      </c>
      <c r="W9" s="6">
        <v>65</v>
      </c>
      <c r="X9" s="6" t="b">
        <f t="shared" si="11"/>
        <v>0</v>
      </c>
      <c r="Y9" s="6">
        <v>258</v>
      </c>
      <c r="Z9" s="6" t="b">
        <f t="shared" si="12"/>
        <v>0</v>
      </c>
      <c r="AA9" s="6">
        <v>44.063000000000002</v>
      </c>
      <c r="AB9" s="6" t="b">
        <f t="shared" si="13"/>
        <v>0</v>
      </c>
      <c r="AC9" s="6">
        <v>25.088999999999999</v>
      </c>
      <c r="AD9" s="8" t="b">
        <f t="shared" si="14"/>
        <v>0</v>
      </c>
      <c r="AE9" s="8">
        <f t="shared" si="15"/>
        <v>18.974000000000004</v>
      </c>
      <c r="AF9" t="b">
        <f t="shared" si="16"/>
        <v>0</v>
      </c>
      <c r="AH9" s="1" t="s">
        <v>51</v>
      </c>
      <c r="AI9" s="3" t="s">
        <v>23</v>
      </c>
      <c r="AJ9" s="2">
        <v>185</v>
      </c>
      <c r="AK9" s="5">
        <f>M189</f>
        <v>0</v>
      </c>
      <c r="AL9" s="5">
        <f>M190</f>
        <v>352</v>
      </c>
      <c r="AM9" s="5">
        <f>M191</f>
        <v>195.65528648648649</v>
      </c>
      <c r="AN9" s="5">
        <f>M192</f>
        <v>219</v>
      </c>
      <c r="AO9" s="2">
        <f>COUNTIF(M3:M187,"")</f>
        <v>0</v>
      </c>
      <c r="AP9" s="2">
        <f>COUNTIF(N3:N187,TRUE)</f>
        <v>0</v>
      </c>
      <c r="AQ9" s="2">
        <v>185</v>
      </c>
      <c r="AR9" s="2"/>
      <c r="AS9" s="2"/>
      <c r="AT9" s="2"/>
      <c r="AU9" s="2">
        <f>_xlfn.STDEV.S(M3:M187)</f>
        <v>103.57316934890646</v>
      </c>
    </row>
    <row r="10" spans="1:53" x14ac:dyDescent="0.3">
      <c r="A10" s="6">
        <v>300</v>
      </c>
      <c r="B10" s="6" t="b">
        <f t="shared" si="0"/>
        <v>0</v>
      </c>
      <c r="C10" s="6">
        <v>3</v>
      </c>
      <c r="D10" s="6" t="b">
        <f>OR(C10&lt;$C$197,C10&gt;$C$196)</f>
        <v>0</v>
      </c>
      <c r="E10" s="6">
        <v>2.4</v>
      </c>
      <c r="F10" s="6" t="b">
        <f t="shared" si="2"/>
        <v>0</v>
      </c>
      <c r="G10" s="6">
        <v>360</v>
      </c>
      <c r="H10" s="6" t="b">
        <f t="shared" si="3"/>
        <v>0</v>
      </c>
      <c r="I10" s="6">
        <v>1.4</v>
      </c>
      <c r="J10" s="6" t="b">
        <f t="shared" si="4"/>
        <v>0</v>
      </c>
      <c r="K10" s="6">
        <v>0.73</v>
      </c>
      <c r="L10" s="6" t="b">
        <f t="shared" si="5"/>
        <v>0</v>
      </c>
      <c r="M10" s="6">
        <v>64.94</v>
      </c>
      <c r="N10" s="6" t="b">
        <f t="shared" si="6"/>
        <v>0</v>
      </c>
      <c r="O10" s="6">
        <v>51</v>
      </c>
      <c r="P10" s="6" t="b">
        <f t="shared" si="7"/>
        <v>0</v>
      </c>
      <c r="Q10" s="6">
        <v>127.07</v>
      </c>
      <c r="R10" s="6" t="b">
        <f t="shared" si="8"/>
        <v>0</v>
      </c>
      <c r="S10" s="6">
        <v>37.764000000000003</v>
      </c>
      <c r="T10" s="6" t="b">
        <f t="shared" si="9"/>
        <v>0</v>
      </c>
      <c r="U10" s="6">
        <v>3.1829000000000002E-3</v>
      </c>
      <c r="V10" s="6" t="b">
        <f t="shared" si="10"/>
        <v>0</v>
      </c>
      <c r="W10" s="6">
        <v>110</v>
      </c>
      <c r="X10" s="6" t="b">
        <f t="shared" si="11"/>
        <v>0</v>
      </c>
      <c r="Y10" s="6">
        <v>250</v>
      </c>
      <c r="Z10" s="6" t="b">
        <f t="shared" si="12"/>
        <v>0</v>
      </c>
      <c r="AA10" s="6">
        <v>27.548999999999999</v>
      </c>
      <c r="AB10" s="6" t="b">
        <f t="shared" si="13"/>
        <v>0</v>
      </c>
      <c r="AC10" s="6">
        <v>24.584</v>
      </c>
      <c r="AD10" s="8" t="b">
        <f t="shared" si="14"/>
        <v>0</v>
      </c>
      <c r="AE10" s="8">
        <f t="shared" si="15"/>
        <v>2.9649999999999999</v>
      </c>
      <c r="AF10" t="b">
        <f t="shared" si="16"/>
        <v>0</v>
      </c>
      <c r="AH10" t="s">
        <v>52</v>
      </c>
      <c r="AI10" s="3" t="s">
        <v>24</v>
      </c>
      <c r="AJ10" s="2">
        <v>185</v>
      </c>
      <c r="AK10" s="5">
        <f>O189</f>
        <v>0</v>
      </c>
      <c r="AL10" s="5">
        <f>O190</f>
        <v>101.8</v>
      </c>
      <c r="AM10" s="5">
        <f>O191</f>
        <v>29.689729729729741</v>
      </c>
      <c r="AN10" s="5">
        <f>O192</f>
        <v>10</v>
      </c>
      <c r="AO10" s="2">
        <f>COUNTIF(O3:O187,"")</f>
        <v>0</v>
      </c>
      <c r="AP10" s="2">
        <f>COUNTIF(P3:P187,TRUE)</f>
        <v>0</v>
      </c>
      <c r="AQ10" s="2">
        <v>185</v>
      </c>
      <c r="AR10" s="2"/>
      <c r="AS10" s="2"/>
      <c r="AT10" s="2"/>
      <c r="AU10" s="2">
        <f>_xlfn.STDEV.S(O3:O187)</f>
        <v>29.21836945336808</v>
      </c>
    </row>
    <row r="11" spans="1:53" x14ac:dyDescent="0.3">
      <c r="A11" s="6">
        <v>250</v>
      </c>
      <c r="B11" s="6" t="b">
        <f t="shared" si="0"/>
        <v>0</v>
      </c>
      <c r="C11" s="6">
        <v>3</v>
      </c>
      <c r="D11" s="6" t="b">
        <f t="shared" si="1"/>
        <v>0</v>
      </c>
      <c r="E11" s="6">
        <v>2.4</v>
      </c>
      <c r="F11" s="6" t="b">
        <f t="shared" si="2"/>
        <v>0</v>
      </c>
      <c r="G11" s="6">
        <v>315</v>
      </c>
      <c r="H11" s="6" t="b">
        <f t="shared" si="3"/>
        <v>0</v>
      </c>
      <c r="I11" s="6">
        <v>1.5</v>
      </c>
      <c r="J11" s="6" t="b">
        <f t="shared" si="4"/>
        <v>0</v>
      </c>
      <c r="K11" s="6">
        <v>0.73</v>
      </c>
      <c r="L11" s="6" t="b">
        <f t="shared" si="5"/>
        <v>0</v>
      </c>
      <c r="M11" s="6">
        <v>170</v>
      </c>
      <c r="N11" s="6" t="b">
        <f t="shared" si="6"/>
        <v>0</v>
      </c>
      <c r="O11" s="6">
        <v>50</v>
      </c>
      <c r="P11" s="6" t="b">
        <f t="shared" si="7"/>
        <v>0</v>
      </c>
      <c r="Q11" s="6">
        <v>149.91</v>
      </c>
      <c r="R11" s="6" t="b">
        <f t="shared" si="8"/>
        <v>0</v>
      </c>
      <c r="S11" s="6">
        <v>39.582000000000001</v>
      </c>
      <c r="T11" s="6" t="b">
        <f t="shared" si="9"/>
        <v>0</v>
      </c>
      <c r="U11" s="6">
        <v>2.7633000000000002E-3</v>
      </c>
      <c r="V11" s="6" t="b">
        <f t="shared" si="10"/>
        <v>0</v>
      </c>
      <c r="W11" s="6">
        <v>100</v>
      </c>
      <c r="X11" s="6" t="b">
        <f t="shared" si="11"/>
        <v>0</v>
      </c>
      <c r="Y11" s="6">
        <v>215</v>
      </c>
      <c r="Z11" s="6" t="b">
        <f t="shared" si="12"/>
        <v>0</v>
      </c>
      <c r="AA11" s="6">
        <v>29.661000000000001</v>
      </c>
      <c r="AB11" s="6" t="b">
        <f t="shared" si="13"/>
        <v>0</v>
      </c>
      <c r="AC11" s="6">
        <v>18.629000000000001</v>
      </c>
      <c r="AD11" s="8" t="b">
        <f t="shared" si="14"/>
        <v>0</v>
      </c>
      <c r="AE11" s="8">
        <f t="shared" si="15"/>
        <v>11.032</v>
      </c>
      <c r="AF11" t="b">
        <f t="shared" si="16"/>
        <v>0</v>
      </c>
      <c r="AH11" s="1" t="s">
        <v>74</v>
      </c>
      <c r="AI11" s="3" t="s">
        <v>25</v>
      </c>
      <c r="AJ11" s="2">
        <v>185</v>
      </c>
      <c r="AK11" s="5">
        <f>Q189</f>
        <v>32</v>
      </c>
      <c r="AL11" s="5">
        <f>Q190</f>
        <v>253.2</v>
      </c>
      <c r="AM11" s="5">
        <f>Q191</f>
        <v>98.467789189189176</v>
      </c>
      <c r="AN11" s="5">
        <f>Q192</f>
        <v>86</v>
      </c>
      <c r="AO11" s="2">
        <f>COUNTIF(Q3:Q187,"")</f>
        <v>0</v>
      </c>
      <c r="AP11" s="2">
        <f>COUNTIF(R3:R187,TRUE)</f>
        <v>0</v>
      </c>
      <c r="AQ11" s="2">
        <v>185</v>
      </c>
      <c r="AR11" s="2"/>
      <c r="AS11" s="2"/>
      <c r="AT11" s="2"/>
      <c r="AU11" s="2">
        <f>_xlfn.STDEV.S(Q3:Q187)</f>
        <v>46.570083612647863</v>
      </c>
    </row>
    <row r="12" spans="1:53" x14ac:dyDescent="0.3">
      <c r="A12" s="6">
        <v>715</v>
      </c>
      <c r="B12" s="6" t="b">
        <f t="shared" si="0"/>
        <v>0</v>
      </c>
      <c r="C12" s="6">
        <v>5</v>
      </c>
      <c r="D12" s="6" t="b">
        <f t="shared" si="1"/>
        <v>0</v>
      </c>
      <c r="E12" s="6">
        <v>2.2000000000000002</v>
      </c>
      <c r="F12" s="6" t="b">
        <f t="shared" si="2"/>
        <v>0</v>
      </c>
      <c r="G12" s="6">
        <v>345</v>
      </c>
      <c r="H12" s="6" t="b">
        <f t="shared" si="3"/>
        <v>0</v>
      </c>
      <c r="I12" s="6">
        <v>1.8</v>
      </c>
      <c r="J12" s="6" t="b">
        <f t="shared" si="4"/>
        <v>0</v>
      </c>
      <c r="K12" s="6">
        <v>0.73</v>
      </c>
      <c r="L12" s="6" t="b">
        <f t="shared" si="5"/>
        <v>0</v>
      </c>
      <c r="M12" s="6">
        <v>343.8</v>
      </c>
      <c r="N12" s="6" t="b">
        <f t="shared" si="6"/>
        <v>0</v>
      </c>
      <c r="O12" s="6">
        <v>50</v>
      </c>
      <c r="P12" s="6" t="b">
        <f t="shared" si="7"/>
        <v>0</v>
      </c>
      <c r="Q12" s="6">
        <v>89.617000000000004</v>
      </c>
      <c r="R12" s="6" t="b">
        <f t="shared" si="8"/>
        <v>0</v>
      </c>
      <c r="S12" s="6">
        <v>47.92</v>
      </c>
      <c r="T12" s="6" t="b">
        <f t="shared" si="9"/>
        <v>0</v>
      </c>
      <c r="U12" s="6">
        <v>4.4275E-3</v>
      </c>
      <c r="V12" s="6" t="b">
        <f t="shared" si="10"/>
        <v>0</v>
      </c>
      <c r="W12" s="6">
        <v>65</v>
      </c>
      <c r="X12" s="6" t="b">
        <f t="shared" si="11"/>
        <v>0</v>
      </c>
      <c r="Y12" s="6">
        <v>280</v>
      </c>
      <c r="Z12" s="6" t="b">
        <f t="shared" si="12"/>
        <v>0</v>
      </c>
      <c r="AA12" s="6">
        <v>66.453000000000003</v>
      </c>
      <c r="AB12" s="6" t="b">
        <f t="shared" si="13"/>
        <v>0</v>
      </c>
      <c r="AC12" s="6">
        <v>48.682000000000002</v>
      </c>
      <c r="AD12" s="8" t="b">
        <f t="shared" si="14"/>
        <v>0</v>
      </c>
      <c r="AE12" s="8">
        <f t="shared" si="15"/>
        <v>17.771000000000001</v>
      </c>
      <c r="AF12" t="b">
        <f t="shared" si="16"/>
        <v>0</v>
      </c>
      <c r="AH12" t="s">
        <v>75</v>
      </c>
      <c r="AI12" s="3" t="s">
        <v>26</v>
      </c>
      <c r="AJ12" s="2">
        <v>185</v>
      </c>
      <c r="AK12" s="5">
        <f>S189</f>
        <v>9</v>
      </c>
      <c r="AL12" s="5">
        <f>S190</f>
        <v>69</v>
      </c>
      <c r="AM12" s="5">
        <f>S191</f>
        <v>24.053427027027027</v>
      </c>
      <c r="AN12" s="5">
        <f>S192</f>
        <v>17</v>
      </c>
      <c r="AO12" s="2">
        <f>COUNTIF(S3:S187,"")</f>
        <v>0</v>
      </c>
      <c r="AP12" s="2">
        <f>COUNTIF(T3:T187,TRUE)</f>
        <v>4</v>
      </c>
      <c r="AQ12" s="2">
        <v>185</v>
      </c>
      <c r="AR12" s="2"/>
      <c r="AS12" s="2"/>
      <c r="AT12" s="2"/>
      <c r="AU12" s="2">
        <f>_xlfn.STDEV.S(S3:S187)</f>
        <v>14.322930414515328</v>
      </c>
    </row>
    <row r="13" spans="1:53" x14ac:dyDescent="0.3">
      <c r="A13" s="6">
        <v>700</v>
      </c>
      <c r="B13" s="6" t="b">
        <f t="shared" si="0"/>
        <v>0</v>
      </c>
      <c r="C13" s="6">
        <v>5</v>
      </c>
      <c r="D13" s="6" t="b">
        <f t="shared" si="1"/>
        <v>0</v>
      </c>
      <c r="E13" s="6">
        <v>3.7</v>
      </c>
      <c r="F13" s="6" t="b">
        <f t="shared" si="2"/>
        <v>0</v>
      </c>
      <c r="G13" s="6">
        <v>310</v>
      </c>
      <c r="H13" s="6" t="b">
        <f t="shared" si="3"/>
        <v>0</v>
      </c>
      <c r="I13" s="6">
        <v>1.8</v>
      </c>
      <c r="J13" s="6" t="b">
        <f t="shared" si="4"/>
        <v>0</v>
      </c>
      <c r="K13" s="6">
        <v>0.62</v>
      </c>
      <c r="L13" s="6" t="b">
        <f t="shared" si="5"/>
        <v>0</v>
      </c>
      <c r="M13" s="6">
        <v>344.29</v>
      </c>
      <c r="N13" s="6" t="b">
        <f t="shared" si="6"/>
        <v>0</v>
      </c>
      <c r="O13" s="6">
        <v>55.5</v>
      </c>
      <c r="P13" s="6" t="b">
        <f t="shared" si="7"/>
        <v>0</v>
      </c>
      <c r="Q13" s="6">
        <v>103.2</v>
      </c>
      <c r="R13" s="6" t="b">
        <f t="shared" si="8"/>
        <v>0</v>
      </c>
      <c r="S13" s="6">
        <v>54.6</v>
      </c>
      <c r="T13" s="6" t="b">
        <f t="shared" si="9"/>
        <v>0</v>
      </c>
      <c r="U13" s="6">
        <v>3.3E-3</v>
      </c>
      <c r="V13" s="6" t="b">
        <f t="shared" si="10"/>
        <v>0</v>
      </c>
      <c r="W13" s="6">
        <v>100</v>
      </c>
      <c r="X13" s="6" t="b">
        <f t="shared" si="11"/>
        <v>0</v>
      </c>
      <c r="Y13" s="6">
        <v>210</v>
      </c>
      <c r="Z13" s="6" t="b">
        <f t="shared" si="12"/>
        <v>0</v>
      </c>
      <c r="AA13" s="6">
        <v>36.253999999999998</v>
      </c>
      <c r="AB13" s="6" t="b">
        <f t="shared" si="13"/>
        <v>0</v>
      </c>
      <c r="AC13" s="6">
        <v>27.335999999999999</v>
      </c>
      <c r="AD13" s="8" t="b">
        <f t="shared" si="14"/>
        <v>0</v>
      </c>
      <c r="AE13" s="8">
        <f t="shared" si="15"/>
        <v>8.9179999999999993</v>
      </c>
      <c r="AF13" t="b">
        <f t="shared" si="16"/>
        <v>0</v>
      </c>
      <c r="AH13" s="1" t="s">
        <v>76</v>
      </c>
      <c r="AI13" s="3" t="s">
        <v>31</v>
      </c>
      <c r="AJ13" s="2">
        <v>185</v>
      </c>
      <c r="AK13" s="7">
        <f>U189</f>
        <v>5.9999999999999995E-4</v>
      </c>
      <c r="AL13" s="7">
        <f>U190</f>
        <v>8.9175999999999995E-3</v>
      </c>
      <c r="AM13" s="7">
        <f>U191</f>
        <v>2.9039785198245525E-3</v>
      </c>
      <c r="AN13" s="5">
        <f>U192</f>
        <v>2.7000000000000001E-3</v>
      </c>
      <c r="AO13" s="2">
        <f>COUNTIF(U3:U187,"")</f>
        <v>0</v>
      </c>
      <c r="AP13" s="2">
        <f>COUNTIF(V3:V187,TRUE)</f>
        <v>4</v>
      </c>
      <c r="AQ13" s="2">
        <v>185</v>
      </c>
      <c r="AR13" s="2"/>
      <c r="AS13" s="2"/>
      <c r="AT13" s="2"/>
      <c r="AU13" s="2">
        <f>_xlfn.STDEV.S(U3:U187)</f>
        <v>1.1401008672949364E-3</v>
      </c>
    </row>
    <row r="14" spans="1:53" x14ac:dyDescent="0.3">
      <c r="A14" s="6">
        <v>640</v>
      </c>
      <c r="B14" s="6" t="b">
        <f t="shared" si="0"/>
        <v>0</v>
      </c>
      <c r="C14" s="6">
        <v>5</v>
      </c>
      <c r="D14" s="6" t="b">
        <f t="shared" si="1"/>
        <v>0</v>
      </c>
      <c r="E14" s="6">
        <v>1.5</v>
      </c>
      <c r="F14" s="6" t="b">
        <f t="shared" si="2"/>
        <v>0</v>
      </c>
      <c r="G14" s="6">
        <v>315</v>
      </c>
      <c r="H14" s="6" t="b">
        <f t="shared" si="3"/>
        <v>0</v>
      </c>
      <c r="I14" s="6">
        <v>1.8</v>
      </c>
      <c r="J14" s="6" t="b">
        <f t="shared" si="4"/>
        <v>0</v>
      </c>
      <c r="K14" s="6">
        <v>0.73</v>
      </c>
      <c r="L14" s="6" t="b">
        <f t="shared" si="5"/>
        <v>0</v>
      </c>
      <c r="M14" s="6">
        <v>135.72</v>
      </c>
      <c r="N14" s="6" t="b">
        <f t="shared" si="6"/>
        <v>0</v>
      </c>
      <c r="O14" s="6">
        <v>50</v>
      </c>
      <c r="P14" s="6" t="b">
        <f t="shared" si="7"/>
        <v>0</v>
      </c>
      <c r="Q14" s="6">
        <v>153.08000000000001</v>
      </c>
      <c r="R14" s="6" t="b">
        <f t="shared" si="8"/>
        <v>0</v>
      </c>
      <c r="S14" s="6">
        <v>33.192999999999998</v>
      </c>
      <c r="T14" s="6" t="b">
        <f t="shared" si="9"/>
        <v>0</v>
      </c>
      <c r="U14" s="6">
        <v>3.4043999999999997E-3</v>
      </c>
      <c r="V14" s="6" t="b">
        <f t="shared" si="10"/>
        <v>0</v>
      </c>
      <c r="W14" s="6">
        <v>65</v>
      </c>
      <c r="X14" s="6" t="b">
        <f t="shared" si="11"/>
        <v>0</v>
      </c>
      <c r="Y14" s="6">
        <v>250</v>
      </c>
      <c r="Z14" s="6" t="b">
        <f t="shared" si="12"/>
        <v>0</v>
      </c>
      <c r="AA14" s="6">
        <v>69.412999999999997</v>
      </c>
      <c r="AB14" s="6" t="b">
        <f t="shared" si="13"/>
        <v>0</v>
      </c>
      <c r="AC14" s="6">
        <v>51.42</v>
      </c>
      <c r="AD14" s="8" t="b">
        <f t="shared" si="14"/>
        <v>0</v>
      </c>
      <c r="AE14" s="8">
        <f t="shared" si="15"/>
        <v>17.992999999999995</v>
      </c>
      <c r="AF14" t="b">
        <f t="shared" si="16"/>
        <v>0</v>
      </c>
      <c r="AH14" t="s">
        <v>77</v>
      </c>
      <c r="AI14" s="3" t="s">
        <v>27</v>
      </c>
      <c r="AJ14" s="2">
        <v>185</v>
      </c>
      <c r="AK14" s="5">
        <f>W189</f>
        <v>0</v>
      </c>
      <c r="AL14" s="5">
        <f>W190</f>
        <v>230</v>
      </c>
      <c r="AM14" s="5">
        <f>W191</f>
        <v>79.459459459459453</v>
      </c>
      <c r="AN14" s="5">
        <f>W192</f>
        <v>75</v>
      </c>
      <c r="AO14" s="2">
        <f>COUNTIF(W3:W187,"")</f>
        <v>0</v>
      </c>
      <c r="AP14" s="2">
        <f>COUNTIF(X3:X187,TRUE)</f>
        <v>15</v>
      </c>
      <c r="AQ14" s="2">
        <v>185</v>
      </c>
      <c r="AR14" s="2"/>
      <c r="AS14" s="2"/>
      <c r="AT14" s="2"/>
      <c r="AU14" s="2">
        <f>_xlfn.STDEV.S(W3:W187)</f>
        <v>30.845684105999304</v>
      </c>
    </row>
    <row r="15" spans="1:53" x14ac:dyDescent="0.3">
      <c r="A15" s="6">
        <v>750</v>
      </c>
      <c r="B15" s="6" t="b">
        <f t="shared" si="0"/>
        <v>0</v>
      </c>
      <c r="C15" s="6">
        <v>5</v>
      </c>
      <c r="D15" s="6" t="b">
        <f t="shared" si="1"/>
        <v>0</v>
      </c>
      <c r="E15" s="6">
        <v>1</v>
      </c>
      <c r="F15" s="6" t="b">
        <f t="shared" si="2"/>
        <v>0</v>
      </c>
      <c r="G15" s="6">
        <v>315</v>
      </c>
      <c r="H15" s="6" t="b">
        <f t="shared" si="3"/>
        <v>0</v>
      </c>
      <c r="I15" s="6">
        <v>2.7</v>
      </c>
      <c r="J15" s="6" t="b">
        <f t="shared" si="4"/>
        <v>0</v>
      </c>
      <c r="K15" s="6">
        <v>0.73</v>
      </c>
      <c r="L15" s="6" t="b">
        <f t="shared" si="5"/>
        <v>0</v>
      </c>
      <c r="M15" s="6">
        <v>257.2</v>
      </c>
      <c r="N15" s="6" t="b">
        <f t="shared" si="6"/>
        <v>0</v>
      </c>
      <c r="O15" s="6">
        <v>50</v>
      </c>
      <c r="P15" s="6" t="b">
        <f t="shared" si="7"/>
        <v>0</v>
      </c>
      <c r="Q15" s="6">
        <v>142.43</v>
      </c>
      <c r="R15" s="6" t="b">
        <f t="shared" si="8"/>
        <v>0</v>
      </c>
      <c r="S15" s="6">
        <v>30.123999999999999</v>
      </c>
      <c r="T15" s="6" t="b">
        <f t="shared" si="9"/>
        <v>0</v>
      </c>
      <c r="U15" s="6">
        <v>4.5926999999999999E-3</v>
      </c>
      <c r="V15" s="6" t="b">
        <f t="shared" si="10"/>
        <v>0</v>
      </c>
      <c r="W15" s="6">
        <v>65</v>
      </c>
      <c r="X15" s="6" t="b">
        <f t="shared" si="11"/>
        <v>0</v>
      </c>
      <c r="Y15" s="6">
        <v>250</v>
      </c>
      <c r="Z15" s="6" t="b">
        <f t="shared" si="12"/>
        <v>0</v>
      </c>
      <c r="AA15" s="6">
        <v>52.228000000000002</v>
      </c>
      <c r="AB15" s="6" t="b">
        <f t="shared" si="13"/>
        <v>0</v>
      </c>
      <c r="AC15" s="6">
        <v>30.466999999999999</v>
      </c>
      <c r="AD15" s="8" t="b">
        <f t="shared" si="14"/>
        <v>0</v>
      </c>
      <c r="AE15" s="8">
        <f t="shared" si="15"/>
        <v>21.761000000000003</v>
      </c>
      <c r="AF15" t="b">
        <f t="shared" si="16"/>
        <v>0</v>
      </c>
      <c r="AH15" s="1" t="s">
        <v>78</v>
      </c>
      <c r="AI15" s="3" t="s">
        <v>28</v>
      </c>
      <c r="AJ15" s="2">
        <v>185</v>
      </c>
      <c r="AK15" s="5">
        <f>Y189</f>
        <v>0</v>
      </c>
      <c r="AL15" s="5">
        <f>Y190</f>
        <v>400</v>
      </c>
      <c r="AM15" s="5">
        <f>Y191</f>
        <v>149.72432432432433</v>
      </c>
      <c r="AN15" s="5">
        <f>Y192</f>
        <v>99</v>
      </c>
      <c r="AO15" s="2">
        <f>COUNTIF(Y3:Y187,"")</f>
        <v>0</v>
      </c>
      <c r="AP15" s="2">
        <f>COUNTIF(Z3:Z187,TRUE)</f>
        <v>0</v>
      </c>
      <c r="AQ15" s="2">
        <v>185</v>
      </c>
      <c r="AR15" s="2"/>
      <c r="AS15" s="2"/>
      <c r="AT15" s="2"/>
      <c r="AU15" s="2">
        <f>_xlfn.STDEV.S(Y3:Y187)</f>
        <v>109.81558010306416</v>
      </c>
    </row>
    <row r="16" spans="1:53" x14ac:dyDescent="0.3">
      <c r="A16" s="6">
        <v>375</v>
      </c>
      <c r="B16" s="6" t="b">
        <f t="shared" si="0"/>
        <v>0</v>
      </c>
      <c r="C16" s="6">
        <v>4</v>
      </c>
      <c r="D16" s="6" t="b">
        <f>OR(C16&lt;$C$197,C16&gt;$C$196)</f>
        <v>0</v>
      </c>
      <c r="E16" s="6">
        <v>2</v>
      </c>
      <c r="F16" s="6" t="b">
        <f t="shared" si="2"/>
        <v>0</v>
      </c>
      <c r="G16" s="6">
        <v>285</v>
      </c>
      <c r="H16" s="6" t="b">
        <f t="shared" si="3"/>
        <v>0</v>
      </c>
      <c r="I16" s="6">
        <v>1.8</v>
      </c>
      <c r="J16" s="6" t="b">
        <f t="shared" si="4"/>
        <v>0</v>
      </c>
      <c r="K16" s="6">
        <v>0.73</v>
      </c>
      <c r="L16" s="6" t="b">
        <f t="shared" si="5"/>
        <v>0</v>
      </c>
      <c r="M16" s="6">
        <v>242.6</v>
      </c>
      <c r="N16" s="6" t="b">
        <f t="shared" si="6"/>
        <v>0</v>
      </c>
      <c r="O16" s="6">
        <v>60.8</v>
      </c>
      <c r="P16" s="6" t="b">
        <f t="shared" si="7"/>
        <v>0</v>
      </c>
      <c r="Q16" s="6">
        <v>132.1</v>
      </c>
      <c r="R16" s="6" t="b">
        <f t="shared" si="8"/>
        <v>0</v>
      </c>
      <c r="S16" s="6">
        <v>47.64</v>
      </c>
      <c r="T16" s="6" t="b">
        <f t="shared" si="9"/>
        <v>0</v>
      </c>
      <c r="U16" s="6">
        <v>3.13E-3</v>
      </c>
      <c r="V16" s="6" t="b">
        <f t="shared" si="10"/>
        <v>0</v>
      </c>
      <c r="W16" s="6">
        <v>60</v>
      </c>
      <c r="X16" s="6" t="b">
        <f t="shared" si="11"/>
        <v>0</v>
      </c>
      <c r="Y16" s="6">
        <v>225</v>
      </c>
      <c r="Z16" s="6" t="b">
        <f t="shared" si="12"/>
        <v>0</v>
      </c>
      <c r="AA16" s="6">
        <v>92.622</v>
      </c>
      <c r="AB16" s="6" t="b">
        <f t="shared" si="13"/>
        <v>0</v>
      </c>
      <c r="AC16" s="6">
        <v>51.21</v>
      </c>
      <c r="AD16" s="8" t="b">
        <f t="shared" si="14"/>
        <v>0</v>
      </c>
      <c r="AE16" s="8">
        <f t="shared" si="15"/>
        <v>41.411999999999999</v>
      </c>
      <c r="AF16" t="b">
        <f t="shared" si="16"/>
        <v>0</v>
      </c>
      <c r="AH16" t="s">
        <v>79</v>
      </c>
      <c r="AI16" s="3" t="s">
        <v>29</v>
      </c>
      <c r="AJ16" s="2">
        <v>185</v>
      </c>
      <c r="AK16" s="5">
        <f>AA189</f>
        <v>9.1969999999999992</v>
      </c>
      <c r="AL16" s="5">
        <f>AA190</f>
        <v>298.54399999999998</v>
      </c>
      <c r="AM16" s="5">
        <f>AA191</f>
        <v>74.163383783783743</v>
      </c>
      <c r="AN16" s="5">
        <f>AA192</f>
        <v>65.114000000000004</v>
      </c>
      <c r="AO16" s="2">
        <f>COUNTIF(AA3:AA187,"")</f>
        <v>0</v>
      </c>
      <c r="AP16" s="2">
        <f>COUNTIF(AB3:AB187,TRUE)</f>
        <v>5</v>
      </c>
      <c r="AQ16" s="2">
        <v>185</v>
      </c>
      <c r="AR16" s="2"/>
      <c r="AS16" s="2"/>
      <c r="AT16" s="2"/>
      <c r="AU16" s="2">
        <f>_xlfn.STDEV.S(AA3:AA187)</f>
        <v>49.599738460574066</v>
      </c>
    </row>
    <row r="17" spans="1:47" x14ac:dyDescent="0.3">
      <c r="A17" s="6">
        <v>670</v>
      </c>
      <c r="B17" s="6" t="b">
        <f t="shared" si="0"/>
        <v>0</v>
      </c>
      <c r="C17" s="6">
        <v>5</v>
      </c>
      <c r="D17" s="6" t="b">
        <f t="shared" si="1"/>
        <v>0</v>
      </c>
      <c r="E17" s="6">
        <v>1.4</v>
      </c>
      <c r="F17" s="6" t="b">
        <f t="shared" si="2"/>
        <v>0</v>
      </c>
      <c r="G17" s="6">
        <v>320</v>
      </c>
      <c r="H17" s="6" t="b">
        <f t="shared" si="3"/>
        <v>0</v>
      </c>
      <c r="I17" s="6">
        <v>1.5</v>
      </c>
      <c r="J17" s="6" t="b">
        <f t="shared" si="4"/>
        <v>0</v>
      </c>
      <c r="K17" s="6">
        <v>0.73</v>
      </c>
      <c r="L17" s="6" t="b">
        <f t="shared" si="5"/>
        <v>0</v>
      </c>
      <c r="M17" s="6">
        <v>142.56</v>
      </c>
      <c r="N17" s="6" t="b">
        <f t="shared" si="6"/>
        <v>0</v>
      </c>
      <c r="O17" s="6">
        <v>50</v>
      </c>
      <c r="P17" s="6" t="b">
        <f t="shared" si="7"/>
        <v>0</v>
      </c>
      <c r="Q17" s="6">
        <v>123.93</v>
      </c>
      <c r="R17" s="6" t="b">
        <f t="shared" si="8"/>
        <v>0</v>
      </c>
      <c r="S17" s="6">
        <v>42.43</v>
      </c>
      <c r="T17" s="6" t="b">
        <f t="shared" si="9"/>
        <v>0</v>
      </c>
      <c r="U17" s="6">
        <v>3.2503000000000002E-3</v>
      </c>
      <c r="V17" s="6" t="b">
        <f t="shared" si="10"/>
        <v>0</v>
      </c>
      <c r="W17" s="6">
        <v>65</v>
      </c>
      <c r="X17" s="6" t="b">
        <f t="shared" si="11"/>
        <v>0</v>
      </c>
      <c r="Y17" s="6">
        <v>255</v>
      </c>
      <c r="Z17" s="6" t="b">
        <f t="shared" si="12"/>
        <v>0</v>
      </c>
      <c r="AA17" s="6">
        <v>41.735999999999997</v>
      </c>
      <c r="AB17" s="6" t="b">
        <f t="shared" si="13"/>
        <v>0</v>
      </c>
      <c r="AC17" s="6">
        <v>34.356999999999999</v>
      </c>
      <c r="AD17" s="8" t="b">
        <f t="shared" si="14"/>
        <v>0</v>
      </c>
      <c r="AE17" s="8">
        <f t="shared" si="15"/>
        <v>7.3789999999999978</v>
      </c>
      <c r="AF17" t="b">
        <f t="shared" si="16"/>
        <v>0</v>
      </c>
      <c r="AH17" s="1" t="s">
        <v>80</v>
      </c>
      <c r="AI17" s="3" t="s">
        <v>30</v>
      </c>
      <c r="AJ17" s="2">
        <v>185</v>
      </c>
      <c r="AK17" s="5">
        <f>AC189</f>
        <v>7.1999999999999995E-2</v>
      </c>
      <c r="AL17" s="5">
        <f>AC190</f>
        <v>123.16</v>
      </c>
      <c r="AM17" s="5">
        <f>AC191</f>
        <v>35.123859459459467</v>
      </c>
      <c r="AN17" s="5">
        <f>AC192</f>
        <v>27.88</v>
      </c>
      <c r="AO17" s="2">
        <f>COUNTIF(AC3:AC187,"")</f>
        <v>0</v>
      </c>
      <c r="AP17" s="2">
        <f>COUNTIF(AD3:AD187,TRUE)</f>
        <v>5</v>
      </c>
      <c r="AQ17" s="2">
        <v>185</v>
      </c>
      <c r="AR17" s="2"/>
      <c r="AS17" s="2"/>
      <c r="AT17" s="2"/>
      <c r="AU17" s="2">
        <f>_xlfn.STDEV.S(AC3:AC187)</f>
        <v>26.000349364954815</v>
      </c>
    </row>
    <row r="18" spans="1:47" x14ac:dyDescent="0.3">
      <c r="A18" s="6">
        <v>470</v>
      </c>
      <c r="B18" s="6" t="b">
        <f t="shared" si="0"/>
        <v>0</v>
      </c>
      <c r="C18" s="6">
        <v>5</v>
      </c>
      <c r="D18" s="6" t="b">
        <f t="shared" si="1"/>
        <v>0</v>
      </c>
      <c r="E18" s="6">
        <v>3.2</v>
      </c>
      <c r="F18" s="6" t="b">
        <f t="shared" si="2"/>
        <v>0</v>
      </c>
      <c r="G18" s="6">
        <v>320</v>
      </c>
      <c r="H18" s="6" t="b">
        <f t="shared" si="3"/>
        <v>0</v>
      </c>
      <c r="I18" s="6">
        <v>1.5</v>
      </c>
      <c r="J18" s="6" t="b">
        <f t="shared" si="4"/>
        <v>0</v>
      </c>
      <c r="K18" s="6">
        <v>0.78</v>
      </c>
      <c r="L18" s="6" t="b">
        <f t="shared" si="5"/>
        <v>0</v>
      </c>
      <c r="M18" s="6">
        <v>132.21</v>
      </c>
      <c r="N18" s="6" t="b">
        <f t="shared" si="6"/>
        <v>0</v>
      </c>
      <c r="O18" s="6">
        <v>50</v>
      </c>
      <c r="P18" s="6" t="b">
        <f t="shared" si="7"/>
        <v>0</v>
      </c>
      <c r="Q18" s="6">
        <v>125.3</v>
      </c>
      <c r="R18" s="6" t="b">
        <f t="shared" si="8"/>
        <v>0</v>
      </c>
      <c r="S18" s="6">
        <v>37.700000000000003</v>
      </c>
      <c r="T18" s="6" t="b">
        <f t="shared" si="9"/>
        <v>0</v>
      </c>
      <c r="U18" s="6">
        <v>3.4306000000000002E-3</v>
      </c>
      <c r="V18" s="6" t="b">
        <f t="shared" si="10"/>
        <v>0</v>
      </c>
      <c r="W18" s="6">
        <v>65</v>
      </c>
      <c r="X18" s="6" t="b">
        <f t="shared" si="11"/>
        <v>0</v>
      </c>
      <c r="Y18" s="6">
        <v>255</v>
      </c>
      <c r="Z18" s="6" t="b">
        <f t="shared" si="12"/>
        <v>0</v>
      </c>
      <c r="AA18" s="6">
        <v>62.072000000000003</v>
      </c>
      <c r="AB18" s="6" t="b">
        <f t="shared" si="13"/>
        <v>0</v>
      </c>
      <c r="AC18" s="6">
        <v>56.356999999999999</v>
      </c>
      <c r="AD18" s="8" t="b">
        <f t="shared" si="14"/>
        <v>0</v>
      </c>
      <c r="AE18" s="8">
        <f t="shared" si="15"/>
        <v>5.7150000000000034</v>
      </c>
      <c r="AF18" t="b">
        <f t="shared" si="16"/>
        <v>0</v>
      </c>
      <c r="AH18" s="1"/>
      <c r="AI18" s="3" t="s">
        <v>82</v>
      </c>
      <c r="AJ18" s="2">
        <v>185</v>
      </c>
      <c r="AK18" s="5">
        <f>AE189</f>
        <v>1.1890000000000001</v>
      </c>
      <c r="AL18" s="5">
        <f>AE190</f>
        <v>262.01499999999999</v>
      </c>
      <c r="AM18" s="5">
        <f>AE192</f>
        <v>20.756</v>
      </c>
      <c r="AN18" s="5">
        <f>AE193</f>
        <v>8.3249999999999957</v>
      </c>
      <c r="AO18" s="2">
        <f>COUNTIF(AE3:AE187,"")</f>
        <v>0</v>
      </c>
      <c r="AP18" s="2">
        <f>COUNTIF(AD3:AD187,TRUE)</f>
        <v>5</v>
      </c>
      <c r="AQ18" s="2">
        <v>185</v>
      </c>
      <c r="AU18" s="2">
        <f>_xlfn.STDEV.S(AE3:AE187)</f>
        <v>45.576830411509064</v>
      </c>
    </row>
    <row r="19" spans="1:47" x14ac:dyDescent="0.3">
      <c r="A19" s="6">
        <v>690</v>
      </c>
      <c r="B19" s="6" t="b">
        <f t="shared" si="0"/>
        <v>0</v>
      </c>
      <c r="C19" s="6">
        <v>5</v>
      </c>
      <c r="D19" s="6" t="b">
        <f t="shared" si="1"/>
        <v>0</v>
      </c>
      <c r="E19" s="6">
        <v>4</v>
      </c>
      <c r="F19" s="6" t="b">
        <f t="shared" si="2"/>
        <v>0</v>
      </c>
      <c r="G19" s="6">
        <v>320</v>
      </c>
      <c r="H19" s="6" t="b">
        <f t="shared" si="3"/>
        <v>0</v>
      </c>
      <c r="I19" s="6">
        <v>1.5</v>
      </c>
      <c r="J19" s="6" t="b">
        <f t="shared" si="4"/>
        <v>0</v>
      </c>
      <c r="K19" s="6">
        <v>0.83899999999999997</v>
      </c>
      <c r="L19" s="6" t="b">
        <f t="shared" si="5"/>
        <v>0</v>
      </c>
      <c r="M19" s="6">
        <v>342.43</v>
      </c>
      <c r="N19" s="6" t="b">
        <f t="shared" si="6"/>
        <v>0</v>
      </c>
      <c r="O19" s="6">
        <v>50</v>
      </c>
      <c r="P19" s="6" t="b">
        <f t="shared" si="7"/>
        <v>0</v>
      </c>
      <c r="Q19" s="6">
        <v>172.49</v>
      </c>
      <c r="R19" s="6" t="b">
        <f t="shared" si="8"/>
        <v>0</v>
      </c>
      <c r="S19" s="6">
        <v>33.149000000000001</v>
      </c>
      <c r="T19" s="6" t="b">
        <f t="shared" si="9"/>
        <v>0</v>
      </c>
      <c r="U19" s="6">
        <v>3.1316999999999998E-3</v>
      </c>
      <c r="V19" s="6" t="b">
        <f t="shared" si="10"/>
        <v>0</v>
      </c>
      <c r="W19" s="6">
        <v>65</v>
      </c>
      <c r="X19" s="6" t="b">
        <f t="shared" si="11"/>
        <v>0</v>
      </c>
      <c r="Y19" s="6">
        <v>255</v>
      </c>
      <c r="Z19" s="6" t="b">
        <f t="shared" si="12"/>
        <v>0</v>
      </c>
      <c r="AA19" s="6">
        <v>52.201999999999998</v>
      </c>
      <c r="AB19" s="6" t="b">
        <f t="shared" si="13"/>
        <v>0</v>
      </c>
      <c r="AC19" s="6">
        <v>46.783999999999999</v>
      </c>
      <c r="AD19" s="8" t="b">
        <f t="shared" si="14"/>
        <v>0</v>
      </c>
      <c r="AE19" s="8">
        <f t="shared" si="15"/>
        <v>5.4179999999999993</v>
      </c>
      <c r="AF19" t="b">
        <f t="shared" si="16"/>
        <v>0</v>
      </c>
      <c r="AH19" s="1"/>
    </row>
    <row r="20" spans="1:47" x14ac:dyDescent="0.3">
      <c r="A20" s="6">
        <v>380</v>
      </c>
      <c r="B20" s="6" t="b">
        <f t="shared" si="0"/>
        <v>0</v>
      </c>
      <c r="C20" s="6">
        <v>3</v>
      </c>
      <c r="D20" s="6" t="b">
        <f t="shared" si="1"/>
        <v>0</v>
      </c>
      <c r="E20" s="6">
        <v>2.6</v>
      </c>
      <c r="F20" s="6" t="b">
        <f t="shared" si="2"/>
        <v>0</v>
      </c>
      <c r="G20" s="6">
        <v>260</v>
      </c>
      <c r="H20" s="6" t="b">
        <f t="shared" si="3"/>
        <v>0</v>
      </c>
      <c r="I20" s="6">
        <v>0.8</v>
      </c>
      <c r="J20" s="6" t="b">
        <f t="shared" si="4"/>
        <v>0</v>
      </c>
      <c r="K20" s="6">
        <v>0.73</v>
      </c>
      <c r="L20" s="6" t="b">
        <f t="shared" si="5"/>
        <v>0</v>
      </c>
      <c r="M20" s="6">
        <v>189.94</v>
      </c>
      <c r="N20" s="6" t="b">
        <f t="shared" si="6"/>
        <v>0</v>
      </c>
      <c r="O20" s="6">
        <v>101.8</v>
      </c>
      <c r="P20" s="6" t="b">
        <f t="shared" si="7"/>
        <v>0</v>
      </c>
      <c r="Q20" s="6">
        <v>253.2</v>
      </c>
      <c r="R20" s="6" t="b">
        <f t="shared" si="8"/>
        <v>0</v>
      </c>
      <c r="S20" s="6">
        <v>33.5</v>
      </c>
      <c r="T20" s="6" t="b">
        <f t="shared" si="9"/>
        <v>0</v>
      </c>
      <c r="U20" s="6">
        <v>5.0000000000000001E-3</v>
      </c>
      <c r="V20" s="6" t="b">
        <f t="shared" si="10"/>
        <v>0</v>
      </c>
      <c r="W20" s="6">
        <v>120</v>
      </c>
      <c r="X20" s="6" t="b">
        <f t="shared" si="11"/>
        <v>0</v>
      </c>
      <c r="Y20" s="6">
        <v>140</v>
      </c>
      <c r="Z20" s="6" t="b">
        <f t="shared" si="12"/>
        <v>0</v>
      </c>
      <c r="AA20" s="6">
        <v>63.645000000000003</v>
      </c>
      <c r="AB20" s="6" t="b">
        <f t="shared" si="13"/>
        <v>0</v>
      </c>
      <c r="AC20" s="6">
        <v>57.793999999999997</v>
      </c>
      <c r="AD20" s="8" t="b">
        <f t="shared" si="14"/>
        <v>0</v>
      </c>
      <c r="AE20" s="8">
        <f t="shared" si="15"/>
        <v>5.8510000000000062</v>
      </c>
      <c r="AF20" t="b">
        <f t="shared" si="16"/>
        <v>0</v>
      </c>
      <c r="AH20" s="1"/>
    </row>
    <row r="21" spans="1:47" x14ac:dyDescent="0.3">
      <c r="A21" s="6">
        <v>700</v>
      </c>
      <c r="B21" s="6" t="b">
        <f t="shared" si="0"/>
        <v>0</v>
      </c>
      <c r="C21" s="6">
        <v>5</v>
      </c>
      <c r="D21" s="6" t="b">
        <f t="shared" si="1"/>
        <v>0</v>
      </c>
      <c r="E21" s="6">
        <v>3</v>
      </c>
      <c r="F21" s="6" t="b">
        <f t="shared" si="2"/>
        <v>0</v>
      </c>
      <c r="G21" s="6">
        <v>312</v>
      </c>
      <c r="H21" s="6" t="b">
        <f t="shared" si="3"/>
        <v>0</v>
      </c>
      <c r="I21" s="6">
        <v>2</v>
      </c>
      <c r="J21" s="6" t="b">
        <f t="shared" si="4"/>
        <v>0</v>
      </c>
      <c r="K21" s="6">
        <v>0.73</v>
      </c>
      <c r="L21" s="6" t="b">
        <f t="shared" si="5"/>
        <v>0</v>
      </c>
      <c r="M21" s="6">
        <v>142.5</v>
      </c>
      <c r="N21" s="6" t="b">
        <f t="shared" si="6"/>
        <v>0</v>
      </c>
      <c r="O21" s="6">
        <v>50</v>
      </c>
      <c r="P21" s="6" t="b">
        <f t="shared" si="7"/>
        <v>0</v>
      </c>
      <c r="Q21" s="6">
        <v>168.58</v>
      </c>
      <c r="R21" s="6" t="b">
        <f t="shared" si="8"/>
        <v>0</v>
      </c>
      <c r="S21" s="6">
        <v>32.664000000000001</v>
      </c>
      <c r="T21" s="6" t="b">
        <f t="shared" si="9"/>
        <v>0</v>
      </c>
      <c r="U21" s="6">
        <v>3.2743000000000004E-3</v>
      </c>
      <c r="V21" s="6" t="b">
        <f t="shared" si="10"/>
        <v>0</v>
      </c>
      <c r="W21" s="6">
        <v>65</v>
      </c>
      <c r="X21" s="6" t="b">
        <f t="shared" si="11"/>
        <v>0</v>
      </c>
      <c r="Y21" s="6">
        <v>247</v>
      </c>
      <c r="Z21" s="6" t="b">
        <f t="shared" si="12"/>
        <v>0</v>
      </c>
      <c r="AA21" s="6">
        <v>91.807000000000002</v>
      </c>
      <c r="AB21" s="6" t="b">
        <f t="shared" si="13"/>
        <v>0</v>
      </c>
      <c r="AC21" s="6">
        <v>68.287999999999997</v>
      </c>
      <c r="AD21" s="8" t="b">
        <f t="shared" si="14"/>
        <v>0</v>
      </c>
      <c r="AE21" s="8">
        <f t="shared" si="15"/>
        <v>23.519000000000005</v>
      </c>
      <c r="AF21" t="b">
        <f t="shared" si="16"/>
        <v>0</v>
      </c>
      <c r="AH21" s="1"/>
    </row>
    <row r="22" spans="1:47" x14ac:dyDescent="0.3">
      <c r="A22" s="6">
        <v>690</v>
      </c>
      <c r="B22" s="6" t="b">
        <f t="shared" si="0"/>
        <v>0</v>
      </c>
      <c r="C22" s="6">
        <v>6</v>
      </c>
      <c r="D22" s="6" t="b">
        <f t="shared" si="1"/>
        <v>0</v>
      </c>
      <c r="E22" s="6">
        <v>2.2999999999999998</v>
      </c>
      <c r="F22" s="6" t="b">
        <f t="shared" si="2"/>
        <v>0</v>
      </c>
      <c r="G22" s="6">
        <v>310</v>
      </c>
      <c r="H22" s="6" t="b">
        <f t="shared" si="3"/>
        <v>0</v>
      </c>
      <c r="I22" s="6">
        <v>1.7</v>
      </c>
      <c r="J22" s="6" t="b">
        <f t="shared" si="4"/>
        <v>0</v>
      </c>
      <c r="K22" s="6">
        <v>0.73</v>
      </c>
      <c r="L22" s="6" t="b">
        <f t="shared" si="5"/>
        <v>0</v>
      </c>
      <c r="M22" s="6">
        <v>337.9</v>
      </c>
      <c r="N22" s="6" t="b">
        <f t="shared" si="6"/>
        <v>0</v>
      </c>
      <c r="O22" s="6">
        <v>59.7</v>
      </c>
      <c r="P22" s="6" t="b">
        <f t="shared" si="7"/>
        <v>0</v>
      </c>
      <c r="Q22" s="6">
        <v>173.5</v>
      </c>
      <c r="R22" s="6" t="b">
        <f t="shared" si="8"/>
        <v>0</v>
      </c>
      <c r="S22" s="6">
        <v>30</v>
      </c>
      <c r="T22" s="6" t="b">
        <f t="shared" si="9"/>
        <v>0</v>
      </c>
      <c r="U22" s="6">
        <v>4.3E-3</v>
      </c>
      <c r="V22" s="6" t="b">
        <f t="shared" si="10"/>
        <v>0</v>
      </c>
      <c r="W22" s="6">
        <v>150</v>
      </c>
      <c r="X22" s="6" t="b">
        <f t="shared" si="11"/>
        <v>1</v>
      </c>
      <c r="Y22" s="6">
        <v>160</v>
      </c>
      <c r="Z22" s="6" t="b">
        <f t="shared" si="12"/>
        <v>0</v>
      </c>
      <c r="AA22" s="6">
        <v>46.978000000000002</v>
      </c>
      <c r="AB22" s="6" t="b">
        <f t="shared" si="13"/>
        <v>0</v>
      </c>
      <c r="AC22" s="6">
        <v>7.8159999999999998</v>
      </c>
      <c r="AD22" s="8" t="b">
        <f t="shared" si="14"/>
        <v>0</v>
      </c>
      <c r="AE22" s="8">
        <f t="shared" si="15"/>
        <v>39.161999999999999</v>
      </c>
      <c r="AF22" t="b">
        <f t="shared" si="16"/>
        <v>0</v>
      </c>
      <c r="AH22" s="1"/>
    </row>
    <row r="23" spans="1:47" x14ac:dyDescent="0.3">
      <c r="A23" s="6">
        <v>669</v>
      </c>
      <c r="B23" s="6" t="b">
        <f t="shared" si="0"/>
        <v>0</v>
      </c>
      <c r="C23" s="6">
        <v>5</v>
      </c>
      <c r="D23" s="6" t="b">
        <f t="shared" si="1"/>
        <v>0</v>
      </c>
      <c r="E23" s="6">
        <v>4</v>
      </c>
      <c r="F23" s="6" t="b">
        <f t="shared" si="2"/>
        <v>0</v>
      </c>
      <c r="G23" s="6">
        <v>345</v>
      </c>
      <c r="H23" s="6" t="b">
        <f t="shared" si="3"/>
        <v>0</v>
      </c>
      <c r="I23" s="6">
        <v>2.6</v>
      </c>
      <c r="J23" s="6" t="b">
        <f t="shared" si="4"/>
        <v>0</v>
      </c>
      <c r="K23" s="6">
        <v>0.7</v>
      </c>
      <c r="L23" s="6" t="b">
        <f t="shared" si="5"/>
        <v>0</v>
      </c>
      <c r="M23" s="6">
        <v>228.26</v>
      </c>
      <c r="N23" s="6" t="b">
        <f t="shared" si="6"/>
        <v>0</v>
      </c>
      <c r="O23" s="6">
        <v>50</v>
      </c>
      <c r="P23" s="6" t="b">
        <f t="shared" si="7"/>
        <v>0</v>
      </c>
      <c r="Q23" s="6">
        <v>144.04</v>
      </c>
      <c r="R23" s="6" t="b">
        <f t="shared" si="8"/>
        <v>0</v>
      </c>
      <c r="S23" s="6">
        <v>34.904000000000003</v>
      </c>
      <c r="T23" s="6" t="b">
        <f t="shared" si="9"/>
        <v>0</v>
      </c>
      <c r="U23" s="6">
        <v>2.8883999999999997E-3</v>
      </c>
      <c r="V23" s="6" t="b">
        <f t="shared" si="10"/>
        <v>0</v>
      </c>
      <c r="W23" s="6">
        <v>65</v>
      </c>
      <c r="X23" s="6" t="b">
        <f t="shared" si="11"/>
        <v>0</v>
      </c>
      <c r="Y23" s="6">
        <v>280</v>
      </c>
      <c r="Z23" s="6" t="b">
        <f t="shared" si="12"/>
        <v>0</v>
      </c>
      <c r="AA23" s="6">
        <v>82.096000000000004</v>
      </c>
      <c r="AB23" s="6" t="b">
        <f t="shared" si="13"/>
        <v>0</v>
      </c>
      <c r="AC23" s="6">
        <v>76.936000000000007</v>
      </c>
      <c r="AD23" s="8" t="b">
        <f t="shared" si="14"/>
        <v>0</v>
      </c>
      <c r="AE23" s="8">
        <f t="shared" si="15"/>
        <v>5.1599999999999966</v>
      </c>
      <c r="AF23" t="b">
        <f t="shared" si="16"/>
        <v>0</v>
      </c>
      <c r="AH23" s="1"/>
    </row>
    <row r="24" spans="1:47" x14ac:dyDescent="0.3">
      <c r="A24" s="6">
        <v>705</v>
      </c>
      <c r="B24" s="6" t="b">
        <f t="shared" si="0"/>
        <v>0</v>
      </c>
      <c r="C24" s="6">
        <v>5</v>
      </c>
      <c r="D24" s="6" t="b">
        <f t="shared" si="1"/>
        <v>0</v>
      </c>
      <c r="E24" s="6">
        <v>3.2</v>
      </c>
      <c r="F24" s="6" t="b">
        <f t="shared" si="2"/>
        <v>0</v>
      </c>
      <c r="G24" s="6">
        <v>325</v>
      </c>
      <c r="H24" s="6" t="b">
        <f t="shared" si="3"/>
        <v>0</v>
      </c>
      <c r="I24" s="6">
        <v>1.5</v>
      </c>
      <c r="J24" s="6" t="b">
        <f t="shared" si="4"/>
        <v>0</v>
      </c>
      <c r="K24" s="6">
        <v>0.73</v>
      </c>
      <c r="L24" s="6" t="b">
        <f t="shared" si="5"/>
        <v>0</v>
      </c>
      <c r="M24" s="6">
        <v>136.16999999999999</v>
      </c>
      <c r="N24" s="6" t="b">
        <f t="shared" si="6"/>
        <v>0</v>
      </c>
      <c r="O24" s="6">
        <v>50</v>
      </c>
      <c r="P24" s="6" t="b">
        <f t="shared" si="7"/>
        <v>0</v>
      </c>
      <c r="Q24" s="6">
        <v>156.27000000000001</v>
      </c>
      <c r="R24" s="6" t="b">
        <f t="shared" si="8"/>
        <v>0</v>
      </c>
      <c r="S24" s="6">
        <v>27.914000000000001</v>
      </c>
      <c r="T24" s="6" t="b">
        <f t="shared" si="9"/>
        <v>0</v>
      </c>
      <c r="U24" s="6">
        <v>2.9159000000000003E-3</v>
      </c>
      <c r="V24" s="6" t="b">
        <f t="shared" si="10"/>
        <v>0</v>
      </c>
      <c r="W24" s="6">
        <v>65</v>
      </c>
      <c r="X24" s="6" t="b">
        <f t="shared" si="11"/>
        <v>0</v>
      </c>
      <c r="Y24" s="6">
        <v>260</v>
      </c>
      <c r="Z24" s="6" t="b">
        <f t="shared" si="12"/>
        <v>0</v>
      </c>
      <c r="AA24" s="6">
        <v>71.025000000000006</v>
      </c>
      <c r="AB24" s="6" t="b">
        <f t="shared" si="13"/>
        <v>0</v>
      </c>
      <c r="AC24" s="6">
        <v>67.147999999999996</v>
      </c>
      <c r="AD24" s="8" t="b">
        <f t="shared" si="14"/>
        <v>0</v>
      </c>
      <c r="AE24" s="8">
        <f t="shared" si="15"/>
        <v>3.8770000000000095</v>
      </c>
      <c r="AF24" t="b">
        <f t="shared" si="16"/>
        <v>0</v>
      </c>
      <c r="AH24" s="1"/>
    </row>
    <row r="25" spans="1:47" x14ac:dyDescent="0.3">
      <c r="A25" s="6">
        <v>590</v>
      </c>
      <c r="B25" s="6" t="b">
        <f t="shared" si="0"/>
        <v>0</v>
      </c>
      <c r="C25" s="6">
        <v>5</v>
      </c>
      <c r="D25" s="6" t="b">
        <f t="shared" si="1"/>
        <v>0</v>
      </c>
      <c r="E25" s="6">
        <v>2.5</v>
      </c>
      <c r="F25" s="6" t="b">
        <f t="shared" si="2"/>
        <v>0</v>
      </c>
      <c r="G25" s="6">
        <v>315</v>
      </c>
      <c r="H25" s="6" t="b">
        <f t="shared" si="3"/>
        <v>0</v>
      </c>
      <c r="I25" s="6">
        <v>2.4</v>
      </c>
      <c r="J25" s="6" t="b">
        <f t="shared" si="4"/>
        <v>0</v>
      </c>
      <c r="K25" s="6">
        <v>0.75</v>
      </c>
      <c r="L25" s="6" t="b">
        <f t="shared" si="5"/>
        <v>0</v>
      </c>
      <c r="M25" s="6">
        <v>337.74</v>
      </c>
      <c r="N25" s="6" t="b">
        <f t="shared" si="6"/>
        <v>0</v>
      </c>
      <c r="O25" s="6">
        <v>50</v>
      </c>
      <c r="P25" s="6" t="b">
        <f t="shared" si="7"/>
        <v>0</v>
      </c>
      <c r="Q25" s="6">
        <v>128.93</v>
      </c>
      <c r="R25" s="6" t="b">
        <f t="shared" si="8"/>
        <v>0</v>
      </c>
      <c r="S25" s="6">
        <v>42.814</v>
      </c>
      <c r="T25" s="6" t="b">
        <f t="shared" si="9"/>
        <v>0</v>
      </c>
      <c r="U25" s="6">
        <v>3.1303999999999998E-3</v>
      </c>
      <c r="V25" s="6" t="b">
        <f t="shared" si="10"/>
        <v>0</v>
      </c>
      <c r="W25" s="6">
        <v>65</v>
      </c>
      <c r="X25" s="6" t="b">
        <f t="shared" si="11"/>
        <v>0</v>
      </c>
      <c r="Y25" s="6">
        <v>250</v>
      </c>
      <c r="Z25" s="6" t="b">
        <f t="shared" si="12"/>
        <v>0</v>
      </c>
      <c r="AA25" s="6">
        <v>64.734999999999999</v>
      </c>
      <c r="AB25" s="6" t="b">
        <f t="shared" si="13"/>
        <v>0</v>
      </c>
      <c r="AC25" s="6">
        <v>52.213000000000001</v>
      </c>
      <c r="AD25" s="8" t="b">
        <f t="shared" si="14"/>
        <v>0</v>
      </c>
      <c r="AE25" s="8">
        <f t="shared" si="15"/>
        <v>12.521999999999998</v>
      </c>
      <c r="AF25" t="b">
        <f t="shared" si="16"/>
        <v>0</v>
      </c>
    </row>
    <row r="26" spans="1:47" x14ac:dyDescent="0.3">
      <c r="A26" s="6">
        <v>640</v>
      </c>
      <c r="B26" s="6" t="b">
        <f t="shared" si="0"/>
        <v>0</v>
      </c>
      <c r="C26" s="6">
        <v>5</v>
      </c>
      <c r="D26" s="6" t="b">
        <f t="shared" si="1"/>
        <v>0</v>
      </c>
      <c r="E26" s="6">
        <v>2.5</v>
      </c>
      <c r="F26" s="6" t="b">
        <f t="shared" si="2"/>
        <v>0</v>
      </c>
      <c r="G26" s="6">
        <v>315</v>
      </c>
      <c r="H26" s="6" t="b">
        <f t="shared" si="3"/>
        <v>0</v>
      </c>
      <c r="I26" s="6">
        <v>1.8</v>
      </c>
      <c r="J26" s="6" t="b">
        <f t="shared" si="4"/>
        <v>0</v>
      </c>
      <c r="K26" s="6">
        <v>0.73</v>
      </c>
      <c r="L26" s="6" t="b">
        <f t="shared" si="5"/>
        <v>0</v>
      </c>
      <c r="M26" s="6">
        <v>343.56</v>
      </c>
      <c r="N26" s="6" t="b">
        <f t="shared" si="6"/>
        <v>0</v>
      </c>
      <c r="O26" s="6">
        <v>50</v>
      </c>
      <c r="P26" s="6" t="b">
        <f t="shared" si="7"/>
        <v>0</v>
      </c>
      <c r="Q26" s="6">
        <v>144.69999999999999</v>
      </c>
      <c r="R26" s="6" t="b">
        <f t="shared" si="8"/>
        <v>0</v>
      </c>
      <c r="S26" s="6">
        <v>34.476999999999997</v>
      </c>
      <c r="T26" s="6" t="b">
        <f t="shared" si="9"/>
        <v>0</v>
      </c>
      <c r="U26" s="6">
        <v>3.3769E-3</v>
      </c>
      <c r="V26" s="6" t="b">
        <f t="shared" si="10"/>
        <v>0</v>
      </c>
      <c r="W26" s="6">
        <v>65</v>
      </c>
      <c r="X26" s="6" t="b">
        <f t="shared" si="11"/>
        <v>0</v>
      </c>
      <c r="Y26" s="6">
        <v>250</v>
      </c>
      <c r="Z26" s="6" t="b">
        <f t="shared" si="12"/>
        <v>0</v>
      </c>
      <c r="AA26" s="6">
        <v>51.658000000000001</v>
      </c>
      <c r="AB26" s="6" t="b">
        <f t="shared" si="13"/>
        <v>0</v>
      </c>
      <c r="AC26" s="6">
        <v>25.971</v>
      </c>
      <c r="AD26" s="8" t="b">
        <f t="shared" si="14"/>
        <v>0</v>
      </c>
      <c r="AE26" s="8">
        <f t="shared" si="15"/>
        <v>25.687000000000001</v>
      </c>
      <c r="AF26" t="b">
        <f t="shared" si="16"/>
        <v>0</v>
      </c>
    </row>
    <row r="27" spans="1:47" x14ac:dyDescent="0.3">
      <c r="A27" s="6">
        <v>690</v>
      </c>
      <c r="B27" s="6" t="b">
        <f t="shared" si="0"/>
        <v>0</v>
      </c>
      <c r="C27" s="6">
        <v>5</v>
      </c>
      <c r="D27" s="6" t="b">
        <f t="shared" si="1"/>
        <v>0</v>
      </c>
      <c r="E27" s="6">
        <v>2</v>
      </c>
      <c r="F27" s="6" t="b">
        <f t="shared" si="2"/>
        <v>0</v>
      </c>
      <c r="G27" s="6">
        <v>330</v>
      </c>
      <c r="H27" s="6" t="b">
        <f t="shared" si="3"/>
        <v>0</v>
      </c>
      <c r="I27" s="6">
        <v>1.5</v>
      </c>
      <c r="J27" s="6" t="b">
        <f t="shared" si="4"/>
        <v>0</v>
      </c>
      <c r="K27" s="6">
        <v>0.73</v>
      </c>
      <c r="L27" s="6" t="b">
        <f t="shared" si="5"/>
        <v>0</v>
      </c>
      <c r="M27" s="6">
        <v>343.45</v>
      </c>
      <c r="N27" s="6" t="b">
        <f t="shared" si="6"/>
        <v>0</v>
      </c>
      <c r="O27" s="6">
        <v>50</v>
      </c>
      <c r="P27" s="6" t="b">
        <f t="shared" si="7"/>
        <v>0</v>
      </c>
      <c r="Q27" s="6">
        <v>145.82</v>
      </c>
      <c r="R27" s="6" t="b">
        <f t="shared" si="8"/>
        <v>0</v>
      </c>
      <c r="S27" s="6">
        <v>33.773000000000003</v>
      </c>
      <c r="T27" s="6" t="b">
        <f t="shared" si="9"/>
        <v>0</v>
      </c>
      <c r="U27" s="6">
        <v>3.6706E-3</v>
      </c>
      <c r="V27" s="6" t="b">
        <f t="shared" si="10"/>
        <v>0</v>
      </c>
      <c r="W27" s="6">
        <v>65</v>
      </c>
      <c r="X27" s="6" t="b">
        <f t="shared" si="11"/>
        <v>0</v>
      </c>
      <c r="Y27" s="6">
        <v>265</v>
      </c>
      <c r="Z27" s="6" t="b">
        <f t="shared" si="12"/>
        <v>0</v>
      </c>
      <c r="AA27" s="6">
        <v>82.346000000000004</v>
      </c>
      <c r="AB27" s="6" t="b">
        <f t="shared" si="13"/>
        <v>0</v>
      </c>
      <c r="AC27" s="6">
        <v>63.28</v>
      </c>
      <c r="AD27" s="8" t="b">
        <f t="shared" si="14"/>
        <v>0</v>
      </c>
      <c r="AE27" s="8">
        <f t="shared" si="15"/>
        <v>19.066000000000003</v>
      </c>
      <c r="AF27" t="b">
        <f t="shared" si="16"/>
        <v>0</v>
      </c>
    </row>
    <row r="28" spans="1:47" x14ac:dyDescent="0.3">
      <c r="A28" s="6">
        <v>655</v>
      </c>
      <c r="B28" s="6" t="b">
        <f t="shared" si="0"/>
        <v>0</v>
      </c>
      <c r="C28" s="6">
        <v>5</v>
      </c>
      <c r="D28" s="6" t="b">
        <f t="shared" si="1"/>
        <v>0</v>
      </c>
      <c r="E28" s="6">
        <v>2.6</v>
      </c>
      <c r="F28" s="6" t="b">
        <f t="shared" si="2"/>
        <v>0</v>
      </c>
      <c r="G28" s="6">
        <v>345</v>
      </c>
      <c r="H28" s="6" t="b">
        <f t="shared" si="3"/>
        <v>0</v>
      </c>
      <c r="I28" s="6">
        <v>2.82</v>
      </c>
      <c r="J28" s="6" t="b">
        <f t="shared" si="4"/>
        <v>0</v>
      </c>
      <c r="K28" s="6">
        <v>0.73</v>
      </c>
      <c r="L28" s="6" t="b">
        <f t="shared" si="5"/>
        <v>0</v>
      </c>
      <c r="M28" s="6">
        <v>135.80000000000001</v>
      </c>
      <c r="N28" s="6" t="b">
        <f t="shared" si="6"/>
        <v>0</v>
      </c>
      <c r="O28" s="6">
        <v>51</v>
      </c>
      <c r="P28" s="6" t="b">
        <f t="shared" si="7"/>
        <v>0</v>
      </c>
      <c r="Q28" s="6">
        <v>125.48</v>
      </c>
      <c r="R28" s="6" t="b">
        <f t="shared" si="8"/>
        <v>0</v>
      </c>
      <c r="S28" s="6">
        <v>37.799999999999997</v>
      </c>
      <c r="T28" s="6" t="b">
        <f t="shared" si="9"/>
        <v>0</v>
      </c>
      <c r="U28" s="6">
        <v>3.176E-3</v>
      </c>
      <c r="V28" s="6" t="b">
        <f t="shared" si="10"/>
        <v>0</v>
      </c>
      <c r="W28" s="6">
        <v>65</v>
      </c>
      <c r="X28" s="6" t="b">
        <f t="shared" si="11"/>
        <v>0</v>
      </c>
      <c r="Y28" s="6">
        <v>280</v>
      </c>
      <c r="Z28" s="6" t="b">
        <f t="shared" si="12"/>
        <v>0</v>
      </c>
      <c r="AA28" s="6">
        <v>104.504</v>
      </c>
      <c r="AB28" s="6" t="b">
        <f t="shared" si="13"/>
        <v>0</v>
      </c>
      <c r="AC28" s="6">
        <v>76.174000000000007</v>
      </c>
      <c r="AD28" s="8" t="b">
        <f t="shared" si="14"/>
        <v>0</v>
      </c>
      <c r="AE28" s="8">
        <f t="shared" si="15"/>
        <v>28.33</v>
      </c>
      <c r="AF28" t="b">
        <f t="shared" si="16"/>
        <v>0</v>
      </c>
    </row>
    <row r="29" spans="1:47" x14ac:dyDescent="0.3">
      <c r="A29" s="6">
        <v>700</v>
      </c>
      <c r="B29" s="6" t="b">
        <f t="shared" si="0"/>
        <v>0</v>
      </c>
      <c r="C29" s="6">
        <v>5</v>
      </c>
      <c r="D29" s="6" t="b">
        <f t="shared" si="1"/>
        <v>0</v>
      </c>
      <c r="E29" s="6">
        <v>5</v>
      </c>
      <c r="F29" s="6" t="b">
        <f t="shared" si="2"/>
        <v>0</v>
      </c>
      <c r="G29" s="6">
        <v>340</v>
      </c>
      <c r="H29" s="6" t="b">
        <f t="shared" si="3"/>
        <v>0</v>
      </c>
      <c r="I29" s="6">
        <v>0.6</v>
      </c>
      <c r="J29" s="6" t="b">
        <f t="shared" si="4"/>
        <v>0</v>
      </c>
      <c r="K29" s="6">
        <v>0.73</v>
      </c>
      <c r="L29" s="6" t="b">
        <f t="shared" si="5"/>
        <v>0</v>
      </c>
      <c r="M29" s="6">
        <v>330.29</v>
      </c>
      <c r="N29" s="6" t="b">
        <f t="shared" si="6"/>
        <v>0</v>
      </c>
      <c r="O29" s="6">
        <v>69.8</v>
      </c>
      <c r="P29" s="6" t="b">
        <f t="shared" si="7"/>
        <v>0</v>
      </c>
      <c r="Q29" s="6">
        <v>153</v>
      </c>
      <c r="R29" s="6" t="b">
        <f t="shared" si="8"/>
        <v>0</v>
      </c>
      <c r="S29" s="6">
        <v>29</v>
      </c>
      <c r="T29" s="6" t="b">
        <f t="shared" si="9"/>
        <v>0</v>
      </c>
      <c r="U29" s="6">
        <v>5.0312063138558899E-3</v>
      </c>
      <c r="V29" s="6" t="b">
        <f t="shared" si="10"/>
        <v>0</v>
      </c>
      <c r="W29" s="6">
        <v>80</v>
      </c>
      <c r="X29" s="6" t="b">
        <f t="shared" si="11"/>
        <v>0</v>
      </c>
      <c r="Y29" s="6">
        <v>260</v>
      </c>
      <c r="Z29" s="6" t="b">
        <f t="shared" si="12"/>
        <v>0</v>
      </c>
      <c r="AA29" s="6">
        <v>88.63</v>
      </c>
      <c r="AB29" s="6" t="b">
        <f t="shared" si="13"/>
        <v>0</v>
      </c>
      <c r="AC29" s="6">
        <v>83.671000000000006</v>
      </c>
      <c r="AD29" s="8" t="b">
        <f t="shared" si="14"/>
        <v>0</v>
      </c>
      <c r="AE29" s="8">
        <f t="shared" si="15"/>
        <v>4.958999999999989</v>
      </c>
      <c r="AF29" t="b">
        <f t="shared" si="16"/>
        <v>0</v>
      </c>
    </row>
    <row r="30" spans="1:47" x14ac:dyDescent="0.3">
      <c r="A30" s="6">
        <v>640</v>
      </c>
      <c r="B30" s="6" t="b">
        <f t="shared" si="0"/>
        <v>0</v>
      </c>
      <c r="C30" s="6">
        <v>5</v>
      </c>
      <c r="D30" s="6" t="b">
        <f t="shared" si="1"/>
        <v>0</v>
      </c>
      <c r="E30" s="6">
        <v>5.5</v>
      </c>
      <c r="F30" s="6" t="b">
        <f t="shared" si="2"/>
        <v>0</v>
      </c>
      <c r="G30" s="6">
        <v>330</v>
      </c>
      <c r="H30" s="6" t="b">
        <f t="shared" si="3"/>
        <v>0</v>
      </c>
      <c r="I30" s="6">
        <v>1.1000000000000001</v>
      </c>
      <c r="J30" s="6" t="b">
        <f t="shared" si="4"/>
        <v>0</v>
      </c>
      <c r="K30" s="6">
        <v>0.73</v>
      </c>
      <c r="L30" s="6" t="b">
        <f t="shared" si="5"/>
        <v>0</v>
      </c>
      <c r="M30" s="6">
        <v>305.81</v>
      </c>
      <c r="N30" s="6" t="b">
        <f t="shared" si="6"/>
        <v>0</v>
      </c>
      <c r="O30" s="6">
        <v>69.8</v>
      </c>
      <c r="P30" s="6" t="b">
        <f t="shared" si="7"/>
        <v>0</v>
      </c>
      <c r="Q30" s="6">
        <v>142.9</v>
      </c>
      <c r="R30" s="6" t="b">
        <f t="shared" si="8"/>
        <v>0</v>
      </c>
      <c r="S30" s="6">
        <v>42.16</v>
      </c>
      <c r="T30" s="6" t="b">
        <f t="shared" si="9"/>
        <v>0</v>
      </c>
      <c r="U30" s="6">
        <v>4.1599999999999996E-3</v>
      </c>
      <c r="V30" s="6" t="b">
        <f t="shared" si="10"/>
        <v>0</v>
      </c>
      <c r="W30" s="6">
        <v>65</v>
      </c>
      <c r="X30" s="6" t="b">
        <f t="shared" si="11"/>
        <v>0</v>
      </c>
      <c r="Y30" s="6">
        <v>265</v>
      </c>
      <c r="Z30" s="6" t="b">
        <f t="shared" si="12"/>
        <v>0</v>
      </c>
      <c r="AA30" s="6">
        <v>106.845</v>
      </c>
      <c r="AB30" s="6" t="b">
        <f t="shared" si="13"/>
        <v>0</v>
      </c>
      <c r="AC30" s="6">
        <v>102.273</v>
      </c>
      <c r="AD30" s="8" t="b">
        <f t="shared" si="14"/>
        <v>1</v>
      </c>
      <c r="AE30" s="8">
        <f t="shared" si="15"/>
        <v>4.5720000000000027</v>
      </c>
      <c r="AF30" t="b">
        <f>OR(AE30&lt;$AE$197,AE30&gt;$AE$196)</f>
        <v>0</v>
      </c>
    </row>
    <row r="31" spans="1:47" x14ac:dyDescent="0.3">
      <c r="A31" s="6">
        <v>700</v>
      </c>
      <c r="B31" s="6" t="b">
        <f t="shared" si="0"/>
        <v>0</v>
      </c>
      <c r="C31" s="6">
        <v>5</v>
      </c>
      <c r="D31" s="6" t="b">
        <f t="shared" si="1"/>
        <v>0</v>
      </c>
      <c r="E31" s="6">
        <v>5.2</v>
      </c>
      <c r="F31" s="6" t="b">
        <f t="shared" si="2"/>
        <v>0</v>
      </c>
      <c r="G31" s="6">
        <v>345</v>
      </c>
      <c r="H31" s="6" t="b">
        <f t="shared" si="3"/>
        <v>0</v>
      </c>
      <c r="I31" s="6">
        <v>1</v>
      </c>
      <c r="J31" s="6" t="b">
        <f t="shared" si="4"/>
        <v>0</v>
      </c>
      <c r="K31" s="6">
        <v>0.73</v>
      </c>
      <c r="L31" s="6" t="b">
        <f t="shared" si="5"/>
        <v>0</v>
      </c>
      <c r="M31" s="6">
        <v>310.60000000000002</v>
      </c>
      <c r="N31" s="6" t="b">
        <f t="shared" si="6"/>
        <v>0</v>
      </c>
      <c r="O31" s="6">
        <v>69.8</v>
      </c>
      <c r="P31" s="6" t="b">
        <f t="shared" si="7"/>
        <v>0</v>
      </c>
      <c r="Q31" s="6">
        <v>166.6</v>
      </c>
      <c r="R31" s="6" t="b">
        <f t="shared" si="8"/>
        <v>0</v>
      </c>
      <c r="S31" s="6">
        <v>44.3</v>
      </c>
      <c r="T31" s="6" t="b">
        <f t="shared" si="9"/>
        <v>0</v>
      </c>
      <c r="U31" s="6">
        <v>3.0699999999999998E-3</v>
      </c>
      <c r="V31" s="6" t="b">
        <f t="shared" si="10"/>
        <v>0</v>
      </c>
      <c r="W31" s="6">
        <v>65</v>
      </c>
      <c r="X31" s="6" t="b">
        <f t="shared" si="11"/>
        <v>0</v>
      </c>
      <c r="Y31" s="6">
        <v>280</v>
      </c>
      <c r="Z31" s="6" t="b">
        <f t="shared" si="12"/>
        <v>0</v>
      </c>
      <c r="AA31" s="6">
        <v>87.417000000000002</v>
      </c>
      <c r="AB31" s="6" t="b">
        <f t="shared" si="13"/>
        <v>0</v>
      </c>
      <c r="AC31" s="6">
        <v>68.864000000000004</v>
      </c>
      <c r="AD31" s="8" t="b">
        <f t="shared" si="14"/>
        <v>0</v>
      </c>
      <c r="AE31" s="8">
        <f t="shared" si="15"/>
        <v>18.552999999999997</v>
      </c>
      <c r="AF31" t="b">
        <f t="shared" si="16"/>
        <v>0</v>
      </c>
    </row>
    <row r="32" spans="1:47" x14ac:dyDescent="0.3">
      <c r="A32" s="6">
        <v>610</v>
      </c>
      <c r="B32" s="6" t="b">
        <f t="shared" si="0"/>
        <v>0</v>
      </c>
      <c r="C32" s="6">
        <v>5</v>
      </c>
      <c r="D32" s="6" t="b">
        <f t="shared" si="1"/>
        <v>0</v>
      </c>
      <c r="E32" s="6">
        <v>4.5999999999999996</v>
      </c>
      <c r="F32" s="6" t="b">
        <f t="shared" si="2"/>
        <v>0</v>
      </c>
      <c r="G32" s="6">
        <v>290</v>
      </c>
      <c r="H32" s="6" t="b">
        <f t="shared" si="3"/>
        <v>0</v>
      </c>
      <c r="I32" s="6">
        <v>3</v>
      </c>
      <c r="J32" s="6" t="b">
        <f t="shared" si="4"/>
        <v>0</v>
      </c>
      <c r="K32" s="6">
        <v>0.84</v>
      </c>
      <c r="L32" s="6" t="b">
        <f t="shared" si="5"/>
        <v>0</v>
      </c>
      <c r="M32" s="6">
        <v>336.37</v>
      </c>
      <c r="N32" s="6" t="b">
        <f t="shared" si="6"/>
        <v>0</v>
      </c>
      <c r="O32" s="6">
        <v>51</v>
      </c>
      <c r="P32" s="6" t="b">
        <f t="shared" si="7"/>
        <v>0</v>
      </c>
      <c r="Q32" s="6">
        <v>143.25</v>
      </c>
      <c r="R32" s="6" t="b">
        <f t="shared" si="8"/>
        <v>0</v>
      </c>
      <c r="S32" s="6">
        <v>18.702999999999999</v>
      </c>
      <c r="T32" s="6" t="b">
        <f t="shared" si="9"/>
        <v>0</v>
      </c>
      <c r="U32" s="6">
        <v>6.0019000000000001E-3</v>
      </c>
      <c r="V32" s="6" t="b">
        <f t="shared" si="10"/>
        <v>1</v>
      </c>
      <c r="W32" s="6">
        <v>65</v>
      </c>
      <c r="X32" s="6" t="b">
        <f t="shared" si="11"/>
        <v>0</v>
      </c>
      <c r="Y32" s="6">
        <v>225</v>
      </c>
      <c r="Z32" s="6" t="b">
        <f t="shared" si="12"/>
        <v>0</v>
      </c>
      <c r="AA32" s="6">
        <v>81.706000000000003</v>
      </c>
      <c r="AB32" s="6" t="b">
        <f t="shared" si="13"/>
        <v>0</v>
      </c>
      <c r="AC32" s="6">
        <v>78.081999999999994</v>
      </c>
      <c r="AD32" s="8" t="b">
        <f t="shared" si="14"/>
        <v>0</v>
      </c>
      <c r="AE32" s="8">
        <f t="shared" si="15"/>
        <v>3.6240000000000094</v>
      </c>
      <c r="AF32" t="b">
        <f t="shared" si="16"/>
        <v>0</v>
      </c>
    </row>
    <row r="33" spans="1:32" x14ac:dyDescent="0.3">
      <c r="A33" s="6">
        <v>690</v>
      </c>
      <c r="B33" s="6" t="b">
        <f t="shared" si="0"/>
        <v>0</v>
      </c>
      <c r="C33" s="6">
        <v>5</v>
      </c>
      <c r="D33" s="6" t="b">
        <f t="shared" si="1"/>
        <v>0</v>
      </c>
      <c r="E33" s="6">
        <v>5</v>
      </c>
      <c r="F33" s="6" t="b">
        <f t="shared" si="2"/>
        <v>0</v>
      </c>
      <c r="G33" s="6">
        <v>270</v>
      </c>
      <c r="H33" s="6" t="b">
        <f t="shared" si="3"/>
        <v>0</v>
      </c>
      <c r="I33" s="6">
        <v>0.89</v>
      </c>
      <c r="J33" s="6" t="b">
        <f t="shared" si="4"/>
        <v>0</v>
      </c>
      <c r="K33" s="6">
        <v>0.84</v>
      </c>
      <c r="L33" s="6" t="b">
        <f t="shared" si="5"/>
        <v>0</v>
      </c>
      <c r="M33" s="6">
        <v>340</v>
      </c>
      <c r="N33" s="6" t="b">
        <f t="shared" si="6"/>
        <v>0</v>
      </c>
      <c r="O33" s="6">
        <v>38.299999999999997</v>
      </c>
      <c r="P33" s="6" t="b">
        <f t="shared" si="7"/>
        <v>0</v>
      </c>
      <c r="Q33" s="6">
        <v>157</v>
      </c>
      <c r="R33" s="6" t="b">
        <f t="shared" si="8"/>
        <v>0</v>
      </c>
      <c r="S33" s="6">
        <v>37</v>
      </c>
      <c r="T33" s="6" t="b">
        <f t="shared" si="9"/>
        <v>0</v>
      </c>
      <c r="U33" s="6">
        <v>4.4424946828891757E-3</v>
      </c>
      <c r="V33" s="6" t="b">
        <f t="shared" si="10"/>
        <v>0</v>
      </c>
      <c r="W33" s="6">
        <v>50</v>
      </c>
      <c r="X33" s="6" t="b">
        <f t="shared" si="11"/>
        <v>0</v>
      </c>
      <c r="Y33" s="6">
        <v>220</v>
      </c>
      <c r="Z33" s="6" t="b">
        <f t="shared" si="12"/>
        <v>0</v>
      </c>
      <c r="AA33" s="6">
        <v>82.311000000000007</v>
      </c>
      <c r="AB33" s="6" t="b">
        <f t="shared" si="13"/>
        <v>0</v>
      </c>
      <c r="AC33" s="6">
        <v>75.242000000000004</v>
      </c>
      <c r="AD33" s="8" t="b">
        <f t="shared" si="14"/>
        <v>0</v>
      </c>
      <c r="AE33" s="8">
        <f t="shared" si="15"/>
        <v>7.0690000000000026</v>
      </c>
      <c r="AF33" t="b">
        <f t="shared" si="16"/>
        <v>0</v>
      </c>
    </row>
    <row r="34" spans="1:32" x14ac:dyDescent="0.3">
      <c r="A34" s="6">
        <v>700</v>
      </c>
      <c r="B34" s="6" t="b">
        <f t="shared" si="0"/>
        <v>0</v>
      </c>
      <c r="C34" s="6">
        <v>5</v>
      </c>
      <c r="D34" s="6" t="b">
        <f t="shared" si="1"/>
        <v>0</v>
      </c>
      <c r="E34" s="6">
        <v>2</v>
      </c>
      <c r="F34" s="6" t="b">
        <f t="shared" si="2"/>
        <v>0</v>
      </c>
      <c r="G34" s="6">
        <v>330</v>
      </c>
      <c r="H34" s="6" t="b">
        <f t="shared" si="3"/>
        <v>0</v>
      </c>
      <c r="I34" s="6">
        <v>2.4</v>
      </c>
      <c r="J34" s="6" t="b">
        <f t="shared" si="4"/>
        <v>0</v>
      </c>
      <c r="K34" s="6">
        <v>0.75</v>
      </c>
      <c r="L34" s="6" t="b">
        <f t="shared" si="5"/>
        <v>0</v>
      </c>
      <c r="M34" s="6">
        <v>164.74</v>
      </c>
      <c r="N34" s="6" t="b">
        <f t="shared" si="6"/>
        <v>0</v>
      </c>
      <c r="O34" s="6">
        <v>50</v>
      </c>
      <c r="P34" s="6" t="b">
        <f t="shared" si="7"/>
        <v>0</v>
      </c>
      <c r="Q34" s="6">
        <v>137.74</v>
      </c>
      <c r="R34" s="6" t="b">
        <f t="shared" si="8"/>
        <v>0</v>
      </c>
      <c r="S34" s="6">
        <v>33.912999999999997</v>
      </c>
      <c r="T34" s="6" t="b">
        <f t="shared" si="9"/>
        <v>0</v>
      </c>
      <c r="U34" s="6">
        <v>3.3296999999999997E-3</v>
      </c>
      <c r="V34" s="6" t="b">
        <f t="shared" si="10"/>
        <v>0</v>
      </c>
      <c r="W34" s="6">
        <v>65</v>
      </c>
      <c r="X34" s="6" t="b">
        <f t="shared" si="11"/>
        <v>0</v>
      </c>
      <c r="Y34" s="6">
        <v>265</v>
      </c>
      <c r="Z34" s="6" t="b">
        <f t="shared" si="12"/>
        <v>0</v>
      </c>
      <c r="AA34" s="6">
        <v>54.475999999999999</v>
      </c>
      <c r="AB34" s="6" t="b">
        <f t="shared" si="13"/>
        <v>0</v>
      </c>
      <c r="AC34" s="6">
        <v>43.128999999999998</v>
      </c>
      <c r="AD34" s="8" t="b">
        <f t="shared" si="14"/>
        <v>0</v>
      </c>
      <c r="AE34" s="8">
        <f t="shared" si="15"/>
        <v>11.347000000000001</v>
      </c>
      <c r="AF34" t="b">
        <f t="shared" si="16"/>
        <v>0</v>
      </c>
    </row>
    <row r="35" spans="1:32" x14ac:dyDescent="0.3">
      <c r="A35" s="6">
        <v>700</v>
      </c>
      <c r="B35" s="6" t="b">
        <f t="shared" si="0"/>
        <v>0</v>
      </c>
      <c r="C35" s="6">
        <v>5</v>
      </c>
      <c r="D35" s="6" t="b">
        <f t="shared" si="1"/>
        <v>0</v>
      </c>
      <c r="E35" s="6">
        <v>0.8</v>
      </c>
      <c r="F35" s="6" t="b">
        <f t="shared" si="2"/>
        <v>0</v>
      </c>
      <c r="G35" s="6">
        <v>330</v>
      </c>
      <c r="H35" s="6" t="b">
        <f t="shared" si="3"/>
        <v>0</v>
      </c>
      <c r="I35" s="6">
        <v>1.4</v>
      </c>
      <c r="J35" s="6" t="b">
        <f t="shared" si="4"/>
        <v>0</v>
      </c>
      <c r="K35" s="6">
        <v>0.73</v>
      </c>
      <c r="L35" s="6" t="b">
        <f t="shared" si="5"/>
        <v>0</v>
      </c>
      <c r="M35" s="6">
        <v>155.52000000000001</v>
      </c>
      <c r="N35" s="6" t="b">
        <f t="shared" si="6"/>
        <v>0</v>
      </c>
      <c r="O35" s="6">
        <v>50</v>
      </c>
      <c r="P35" s="6" t="b">
        <f t="shared" si="7"/>
        <v>0</v>
      </c>
      <c r="Q35" s="6">
        <v>121.28</v>
      </c>
      <c r="R35" s="6" t="b">
        <f t="shared" si="8"/>
        <v>0</v>
      </c>
      <c r="S35" s="6">
        <v>38.636000000000003</v>
      </c>
      <c r="T35" s="6" t="b">
        <f t="shared" si="9"/>
        <v>0</v>
      </c>
      <c r="U35" s="6">
        <v>3.7904000000000002E-3</v>
      </c>
      <c r="V35" s="6" t="b">
        <f t="shared" si="10"/>
        <v>0</v>
      </c>
      <c r="W35" s="6">
        <v>65</v>
      </c>
      <c r="X35" s="6" t="b">
        <f t="shared" si="11"/>
        <v>0</v>
      </c>
      <c r="Y35" s="6">
        <v>265</v>
      </c>
      <c r="Z35" s="6" t="b">
        <f t="shared" si="12"/>
        <v>0</v>
      </c>
      <c r="AA35" s="6">
        <v>62.767000000000003</v>
      </c>
      <c r="AB35" s="6" t="b">
        <f t="shared" si="13"/>
        <v>0</v>
      </c>
      <c r="AC35" s="6">
        <v>49.904000000000003</v>
      </c>
      <c r="AD35" s="8" t="b">
        <f t="shared" si="14"/>
        <v>0</v>
      </c>
      <c r="AE35" s="8">
        <f t="shared" si="15"/>
        <v>12.863</v>
      </c>
      <c r="AF35" t="b">
        <f t="shared" si="16"/>
        <v>0</v>
      </c>
    </row>
    <row r="36" spans="1:32" x14ac:dyDescent="0.3">
      <c r="A36" s="6">
        <v>660</v>
      </c>
      <c r="B36" s="6" t="b">
        <f t="shared" si="0"/>
        <v>0</v>
      </c>
      <c r="C36" s="6">
        <v>5</v>
      </c>
      <c r="D36" s="6" t="b">
        <f t="shared" si="1"/>
        <v>0</v>
      </c>
      <c r="E36" s="6">
        <v>5.2</v>
      </c>
      <c r="F36" s="6" t="b">
        <f t="shared" si="2"/>
        <v>0</v>
      </c>
      <c r="G36" s="6">
        <v>360</v>
      </c>
      <c r="H36" s="6" t="b">
        <f t="shared" si="3"/>
        <v>0</v>
      </c>
      <c r="I36" s="6">
        <v>0.8</v>
      </c>
      <c r="J36" s="6" t="b">
        <f t="shared" si="4"/>
        <v>0</v>
      </c>
      <c r="K36" s="6">
        <v>0.73</v>
      </c>
      <c r="L36" s="6" t="b">
        <f t="shared" si="5"/>
        <v>0</v>
      </c>
      <c r="M36" s="6">
        <v>131.77000000000001</v>
      </c>
      <c r="N36" s="6" t="b">
        <f t="shared" si="6"/>
        <v>0</v>
      </c>
      <c r="O36" s="6">
        <v>70.8</v>
      </c>
      <c r="P36" s="6" t="b">
        <f t="shared" si="7"/>
        <v>0</v>
      </c>
      <c r="Q36" s="6">
        <v>155.5</v>
      </c>
      <c r="R36" s="6" t="b">
        <f t="shared" si="8"/>
        <v>0</v>
      </c>
      <c r="S36" s="6">
        <v>38.020000000000003</v>
      </c>
      <c r="T36" s="6" t="b">
        <f t="shared" si="9"/>
        <v>0</v>
      </c>
      <c r="U36" s="6">
        <v>4.1399999999999996E-3</v>
      </c>
      <c r="V36" s="6" t="b">
        <f t="shared" si="10"/>
        <v>0</v>
      </c>
      <c r="W36" s="6">
        <v>65</v>
      </c>
      <c r="X36" s="6" t="b">
        <f t="shared" si="11"/>
        <v>0</v>
      </c>
      <c r="Y36" s="6">
        <v>295</v>
      </c>
      <c r="Z36" s="6" t="b">
        <f t="shared" si="12"/>
        <v>0</v>
      </c>
      <c r="AA36" s="6">
        <v>63.98</v>
      </c>
      <c r="AB36" s="6" t="b">
        <f t="shared" si="13"/>
        <v>0</v>
      </c>
      <c r="AC36" s="6">
        <v>45.247</v>
      </c>
      <c r="AD36" s="8" t="b">
        <f t="shared" si="14"/>
        <v>0</v>
      </c>
      <c r="AE36" s="8">
        <f t="shared" si="15"/>
        <v>18.732999999999997</v>
      </c>
      <c r="AF36" t="b">
        <f t="shared" si="16"/>
        <v>0</v>
      </c>
    </row>
    <row r="37" spans="1:32" x14ac:dyDescent="0.3">
      <c r="A37" s="6">
        <v>695</v>
      </c>
      <c r="B37" s="6" t="b">
        <f t="shared" si="0"/>
        <v>0</v>
      </c>
      <c r="C37" s="6">
        <v>5</v>
      </c>
      <c r="D37" s="6" t="b">
        <f t="shared" si="1"/>
        <v>0</v>
      </c>
      <c r="E37" s="6">
        <v>4.0999999999999996</v>
      </c>
      <c r="F37" s="6" t="b">
        <f t="shared" si="2"/>
        <v>0</v>
      </c>
      <c r="G37" s="6">
        <v>340</v>
      </c>
      <c r="H37" s="6" t="b">
        <f t="shared" si="3"/>
        <v>0</v>
      </c>
      <c r="I37" s="6">
        <v>0.8</v>
      </c>
      <c r="J37" s="6" t="b">
        <f t="shared" si="4"/>
        <v>0</v>
      </c>
      <c r="K37" s="6">
        <v>0.83899999999999997</v>
      </c>
      <c r="L37" s="6" t="b">
        <f t="shared" si="5"/>
        <v>0</v>
      </c>
      <c r="M37" s="6">
        <v>241.12899999999999</v>
      </c>
      <c r="N37" s="6" t="b">
        <f t="shared" si="6"/>
        <v>0</v>
      </c>
      <c r="O37" s="6">
        <v>71.8</v>
      </c>
      <c r="P37" s="6" t="b">
        <f t="shared" si="7"/>
        <v>0</v>
      </c>
      <c r="Q37" s="6">
        <v>169.6</v>
      </c>
      <c r="R37" s="6" t="b">
        <f t="shared" si="8"/>
        <v>0</v>
      </c>
      <c r="S37" s="6">
        <v>29.5</v>
      </c>
      <c r="T37" s="6" t="b">
        <f t="shared" si="9"/>
        <v>0</v>
      </c>
      <c r="U37" s="6">
        <v>5.5999999999999999E-3</v>
      </c>
      <c r="V37" s="6" t="b">
        <f t="shared" si="10"/>
        <v>0</v>
      </c>
      <c r="W37" s="6">
        <v>150</v>
      </c>
      <c r="X37" s="6" t="b">
        <f t="shared" si="11"/>
        <v>1</v>
      </c>
      <c r="Y37" s="6">
        <v>190</v>
      </c>
      <c r="Z37" s="6" t="b">
        <f t="shared" si="12"/>
        <v>0</v>
      </c>
      <c r="AA37" s="6">
        <v>80.968999999999994</v>
      </c>
      <c r="AB37" s="6" t="b">
        <f t="shared" si="13"/>
        <v>0</v>
      </c>
      <c r="AC37" s="6">
        <v>62.677</v>
      </c>
      <c r="AD37" s="8" t="b">
        <f t="shared" si="14"/>
        <v>0</v>
      </c>
      <c r="AE37" s="8">
        <f t="shared" si="15"/>
        <v>18.291999999999994</v>
      </c>
      <c r="AF37" t="b">
        <f t="shared" si="16"/>
        <v>0</v>
      </c>
    </row>
    <row r="38" spans="1:32" x14ac:dyDescent="0.3">
      <c r="A38" s="6">
        <v>695</v>
      </c>
      <c r="B38" s="6" t="b">
        <f t="shared" si="0"/>
        <v>0</v>
      </c>
      <c r="C38" s="6">
        <v>5</v>
      </c>
      <c r="D38" s="6" t="b">
        <f t="shared" si="1"/>
        <v>0</v>
      </c>
      <c r="E38" s="6">
        <v>7.4</v>
      </c>
      <c r="F38" s="6" t="b">
        <f t="shared" si="2"/>
        <v>0</v>
      </c>
      <c r="G38" s="6">
        <v>385</v>
      </c>
      <c r="H38" s="6" t="b">
        <f t="shared" si="3"/>
        <v>0</v>
      </c>
      <c r="I38" s="6">
        <v>0.8</v>
      </c>
      <c r="J38" s="6" t="b">
        <f t="shared" si="4"/>
        <v>0</v>
      </c>
      <c r="K38" s="6">
        <v>0.83899999999999997</v>
      </c>
      <c r="L38" s="6" t="b">
        <f t="shared" si="5"/>
        <v>0</v>
      </c>
      <c r="M38" s="6">
        <v>324.85899999999998</v>
      </c>
      <c r="N38" s="6" t="b">
        <f t="shared" si="6"/>
        <v>0</v>
      </c>
      <c r="O38" s="6">
        <v>69.7</v>
      </c>
      <c r="P38" s="6" t="b">
        <f t="shared" si="7"/>
        <v>0</v>
      </c>
      <c r="Q38" s="6">
        <v>208.8</v>
      </c>
      <c r="R38" s="6" t="b">
        <f t="shared" si="8"/>
        <v>0</v>
      </c>
      <c r="S38" s="6">
        <v>28</v>
      </c>
      <c r="T38" s="6" t="b">
        <f t="shared" si="9"/>
        <v>0</v>
      </c>
      <c r="U38" s="6">
        <v>4.7999999999999996E-3</v>
      </c>
      <c r="V38" s="6" t="b">
        <f t="shared" si="10"/>
        <v>0</v>
      </c>
      <c r="W38" s="6">
        <v>65</v>
      </c>
      <c r="X38" s="6" t="b">
        <f t="shared" si="11"/>
        <v>0</v>
      </c>
      <c r="Y38" s="6">
        <v>320</v>
      </c>
      <c r="Z38" s="6" t="b">
        <f t="shared" si="12"/>
        <v>0</v>
      </c>
      <c r="AA38" s="6">
        <v>97.424999999999997</v>
      </c>
      <c r="AB38" s="6" t="b">
        <f t="shared" si="13"/>
        <v>0</v>
      </c>
      <c r="AC38" s="6">
        <v>76.513999999999996</v>
      </c>
      <c r="AD38" s="8" t="b">
        <f t="shared" si="14"/>
        <v>0</v>
      </c>
      <c r="AE38" s="8">
        <f t="shared" si="15"/>
        <v>20.911000000000001</v>
      </c>
      <c r="AF38" t="b">
        <f t="shared" si="16"/>
        <v>0</v>
      </c>
    </row>
    <row r="39" spans="1:32" x14ac:dyDescent="0.3">
      <c r="A39" s="6">
        <v>700</v>
      </c>
      <c r="B39" s="6" t="b">
        <f t="shared" si="0"/>
        <v>0</v>
      </c>
      <c r="C39" s="6">
        <v>5</v>
      </c>
      <c r="D39" s="6" t="b">
        <f t="shared" si="1"/>
        <v>0</v>
      </c>
      <c r="E39" s="6">
        <v>5</v>
      </c>
      <c r="F39" s="6" t="b">
        <f t="shared" si="2"/>
        <v>0</v>
      </c>
      <c r="G39" s="6">
        <v>245</v>
      </c>
      <c r="H39" s="6" t="b">
        <f t="shared" si="3"/>
        <v>0</v>
      </c>
      <c r="I39" s="6">
        <v>0.8</v>
      </c>
      <c r="J39" s="6" t="b">
        <f t="shared" si="4"/>
        <v>0</v>
      </c>
      <c r="K39" s="6">
        <v>0.73</v>
      </c>
      <c r="L39" s="6" t="b">
        <f t="shared" si="5"/>
        <v>0</v>
      </c>
      <c r="M39" s="6">
        <v>245.27</v>
      </c>
      <c r="N39" s="6" t="b">
        <f t="shared" si="6"/>
        <v>0</v>
      </c>
      <c r="O39" s="6">
        <v>45.8</v>
      </c>
      <c r="P39" s="6" t="b">
        <f t="shared" si="7"/>
        <v>0</v>
      </c>
      <c r="Q39" s="6">
        <v>128.69999999999999</v>
      </c>
      <c r="R39" s="6" t="b">
        <f t="shared" si="8"/>
        <v>0</v>
      </c>
      <c r="S39" s="6">
        <v>47.36</v>
      </c>
      <c r="T39" s="6" t="b">
        <f t="shared" si="9"/>
        <v>0</v>
      </c>
      <c r="U39" s="6">
        <v>2.5900000000000003E-3</v>
      </c>
      <c r="V39" s="6" t="b">
        <f t="shared" si="10"/>
        <v>0</v>
      </c>
      <c r="W39" s="6">
        <v>60</v>
      </c>
      <c r="X39" s="6" t="b">
        <f t="shared" si="11"/>
        <v>0</v>
      </c>
      <c r="Y39" s="6">
        <v>185</v>
      </c>
      <c r="Z39" s="6" t="b">
        <f t="shared" si="12"/>
        <v>0</v>
      </c>
      <c r="AA39" s="6">
        <v>76.290000000000006</v>
      </c>
      <c r="AB39" s="6" t="b">
        <f t="shared" si="13"/>
        <v>0</v>
      </c>
      <c r="AC39" s="6">
        <v>58.551000000000002</v>
      </c>
      <c r="AD39" s="8" t="b">
        <f t="shared" si="14"/>
        <v>0</v>
      </c>
      <c r="AE39" s="8">
        <f t="shared" si="15"/>
        <v>17.739000000000004</v>
      </c>
      <c r="AF39" t="b">
        <f t="shared" si="16"/>
        <v>0</v>
      </c>
    </row>
    <row r="40" spans="1:32" x14ac:dyDescent="0.3">
      <c r="A40" s="6">
        <v>740</v>
      </c>
      <c r="B40" s="6" t="b">
        <f t="shared" si="0"/>
        <v>0</v>
      </c>
      <c r="C40" s="6">
        <v>5</v>
      </c>
      <c r="D40" s="6" t="b">
        <f t="shared" si="1"/>
        <v>0</v>
      </c>
      <c r="E40" s="6">
        <v>2.2000000000000002</v>
      </c>
      <c r="F40" s="6" t="b">
        <f t="shared" si="2"/>
        <v>0</v>
      </c>
      <c r="G40" s="6">
        <v>360</v>
      </c>
      <c r="H40" s="6" t="b">
        <f t="shared" si="3"/>
        <v>0</v>
      </c>
      <c r="I40" s="6">
        <v>1.6</v>
      </c>
      <c r="J40" s="6" t="b">
        <f t="shared" si="4"/>
        <v>0</v>
      </c>
      <c r="K40" s="6">
        <v>0.73</v>
      </c>
      <c r="L40" s="6" t="b">
        <f t="shared" si="5"/>
        <v>0</v>
      </c>
      <c r="M40" s="6">
        <v>161</v>
      </c>
      <c r="N40" s="6" t="b">
        <f t="shared" si="6"/>
        <v>0</v>
      </c>
      <c r="O40" s="6">
        <v>70</v>
      </c>
      <c r="P40" s="6" t="b">
        <f t="shared" si="7"/>
        <v>0</v>
      </c>
      <c r="Q40" s="6">
        <v>144.26</v>
      </c>
      <c r="R40" s="6" t="b">
        <f t="shared" si="8"/>
        <v>0</v>
      </c>
      <c r="S40" s="6">
        <v>24.611000000000001</v>
      </c>
      <c r="T40" s="6" t="b">
        <f t="shared" si="9"/>
        <v>0</v>
      </c>
      <c r="U40" s="6">
        <v>8.9175999999999995E-3</v>
      </c>
      <c r="V40" s="6" t="b">
        <f t="shared" si="10"/>
        <v>1</v>
      </c>
      <c r="W40" s="6">
        <v>60</v>
      </c>
      <c r="X40" s="6" t="b">
        <f t="shared" si="11"/>
        <v>0</v>
      </c>
      <c r="Y40" s="6">
        <v>300</v>
      </c>
      <c r="Z40" s="6" t="b">
        <f t="shared" si="12"/>
        <v>0</v>
      </c>
      <c r="AA40" s="6">
        <v>87.123999999999995</v>
      </c>
      <c r="AB40" s="6" t="b">
        <f t="shared" si="13"/>
        <v>0</v>
      </c>
      <c r="AC40" s="6">
        <v>77.734999999999999</v>
      </c>
      <c r="AD40" s="8" t="b">
        <f t="shared" si="14"/>
        <v>0</v>
      </c>
      <c r="AE40" s="8">
        <f t="shared" si="15"/>
        <v>9.3889999999999958</v>
      </c>
      <c r="AF40" t="b">
        <f t="shared" si="16"/>
        <v>0</v>
      </c>
    </row>
    <row r="41" spans="1:32" x14ac:dyDescent="0.3">
      <c r="A41" s="6">
        <v>715</v>
      </c>
      <c r="B41" s="6" t="b">
        <f t="shared" si="0"/>
        <v>0</v>
      </c>
      <c r="C41" s="6">
        <v>5</v>
      </c>
      <c r="D41" s="6" t="b">
        <f t="shared" si="1"/>
        <v>0</v>
      </c>
      <c r="E41" s="6">
        <v>5</v>
      </c>
      <c r="F41" s="6" t="b">
        <f t="shared" si="2"/>
        <v>0</v>
      </c>
      <c r="G41" s="6">
        <v>399</v>
      </c>
      <c r="H41" s="6" t="b">
        <f t="shared" si="3"/>
        <v>0</v>
      </c>
      <c r="I41" s="6">
        <v>2</v>
      </c>
      <c r="J41" s="6" t="b">
        <f t="shared" si="4"/>
        <v>0</v>
      </c>
      <c r="K41" s="6">
        <v>0.7</v>
      </c>
      <c r="L41" s="6" t="b">
        <f t="shared" si="5"/>
        <v>0</v>
      </c>
      <c r="M41" s="6">
        <v>151.11000000000001</v>
      </c>
      <c r="N41" s="6" t="b">
        <f t="shared" si="6"/>
        <v>0</v>
      </c>
      <c r="O41" s="6">
        <v>70</v>
      </c>
      <c r="P41" s="6" t="b">
        <f t="shared" si="7"/>
        <v>0</v>
      </c>
      <c r="Q41" s="6">
        <v>137.43</v>
      </c>
      <c r="R41" s="6" t="b">
        <f t="shared" si="8"/>
        <v>0</v>
      </c>
      <c r="S41" s="6">
        <v>28.684999999999999</v>
      </c>
      <c r="T41" s="6" t="b">
        <f t="shared" si="9"/>
        <v>0</v>
      </c>
      <c r="U41" s="6">
        <v>3.0201E-3</v>
      </c>
      <c r="V41" s="6" t="b">
        <f t="shared" si="10"/>
        <v>0</v>
      </c>
      <c r="W41" s="6">
        <v>65</v>
      </c>
      <c r="X41" s="6" t="b">
        <f t="shared" si="11"/>
        <v>0</v>
      </c>
      <c r="Y41" s="6">
        <v>334</v>
      </c>
      <c r="Z41" s="6" t="b">
        <f t="shared" si="12"/>
        <v>0</v>
      </c>
      <c r="AA41" s="6">
        <v>100.764</v>
      </c>
      <c r="AB41" s="6" t="b">
        <f t="shared" si="13"/>
        <v>0</v>
      </c>
      <c r="AC41" s="6">
        <v>90.384</v>
      </c>
      <c r="AD41" s="8" t="b">
        <f t="shared" si="14"/>
        <v>0</v>
      </c>
      <c r="AE41" s="8">
        <f t="shared" si="15"/>
        <v>10.379999999999995</v>
      </c>
      <c r="AF41" t="b">
        <f t="shared" si="16"/>
        <v>0</v>
      </c>
    </row>
    <row r="42" spans="1:32" x14ac:dyDescent="0.3">
      <c r="A42" s="6">
        <v>680</v>
      </c>
      <c r="B42" s="6" t="b">
        <f t="shared" si="0"/>
        <v>0</v>
      </c>
      <c r="C42" s="6">
        <v>5</v>
      </c>
      <c r="D42" s="6" t="b">
        <f t="shared" si="1"/>
        <v>0</v>
      </c>
      <c r="E42" s="6">
        <v>5</v>
      </c>
      <c r="F42" s="6" t="b">
        <f t="shared" si="2"/>
        <v>0</v>
      </c>
      <c r="G42" s="6">
        <v>312</v>
      </c>
      <c r="H42" s="6" t="b">
        <f t="shared" si="3"/>
        <v>0</v>
      </c>
      <c r="I42" s="6">
        <v>1.4</v>
      </c>
      <c r="J42" s="6" t="b">
        <f t="shared" si="4"/>
        <v>0</v>
      </c>
      <c r="K42" s="6">
        <v>0.83899999999999997</v>
      </c>
      <c r="L42" s="6" t="b">
        <f t="shared" si="5"/>
        <v>0</v>
      </c>
      <c r="M42" s="6">
        <v>279.73</v>
      </c>
      <c r="N42" s="6" t="b">
        <f t="shared" si="6"/>
        <v>0</v>
      </c>
      <c r="O42" s="6">
        <v>73.3</v>
      </c>
      <c r="P42" s="6" t="b">
        <f t="shared" si="7"/>
        <v>0</v>
      </c>
      <c r="Q42" s="6">
        <v>197.8</v>
      </c>
      <c r="R42" s="6" t="b">
        <f t="shared" si="8"/>
        <v>0</v>
      </c>
      <c r="S42" s="6">
        <v>29.8</v>
      </c>
      <c r="T42" s="6" t="b">
        <f t="shared" si="9"/>
        <v>0</v>
      </c>
      <c r="U42" s="6">
        <v>5.0000000000000001E-3</v>
      </c>
      <c r="V42" s="6" t="b">
        <f t="shared" si="10"/>
        <v>0</v>
      </c>
      <c r="W42" s="6">
        <v>65</v>
      </c>
      <c r="X42" s="6" t="b">
        <f t="shared" si="11"/>
        <v>0</v>
      </c>
      <c r="Y42" s="6">
        <v>247</v>
      </c>
      <c r="Z42" s="6" t="b">
        <f t="shared" si="12"/>
        <v>0</v>
      </c>
      <c r="AA42" s="6">
        <v>59.029000000000003</v>
      </c>
      <c r="AB42" s="6" t="b">
        <f t="shared" si="13"/>
        <v>0</v>
      </c>
      <c r="AC42" s="6">
        <v>54.008000000000003</v>
      </c>
      <c r="AD42" s="8" t="b">
        <f t="shared" si="14"/>
        <v>0</v>
      </c>
      <c r="AE42" s="8">
        <f t="shared" si="15"/>
        <v>5.0210000000000008</v>
      </c>
      <c r="AF42" t="b">
        <f t="shared" si="16"/>
        <v>0</v>
      </c>
    </row>
    <row r="43" spans="1:32" x14ac:dyDescent="0.3">
      <c r="A43" s="6">
        <v>690</v>
      </c>
      <c r="B43" s="6" t="b">
        <f t="shared" si="0"/>
        <v>0</v>
      </c>
      <c r="C43" s="6">
        <v>6</v>
      </c>
      <c r="D43" s="6" t="b">
        <f t="shared" si="1"/>
        <v>0</v>
      </c>
      <c r="E43" s="6">
        <v>5</v>
      </c>
      <c r="F43" s="6" t="b">
        <f t="shared" si="2"/>
        <v>0</v>
      </c>
      <c r="G43" s="6">
        <v>280</v>
      </c>
      <c r="H43" s="6" t="b">
        <f t="shared" si="3"/>
        <v>0</v>
      </c>
      <c r="I43" s="6">
        <v>1.3</v>
      </c>
      <c r="J43" s="6" t="b">
        <f t="shared" si="4"/>
        <v>0</v>
      </c>
      <c r="K43" s="6">
        <v>0.73</v>
      </c>
      <c r="L43" s="6" t="b">
        <f t="shared" si="5"/>
        <v>0</v>
      </c>
      <c r="M43" s="6">
        <v>291.13</v>
      </c>
      <c r="N43" s="6" t="b">
        <f t="shared" si="6"/>
        <v>0</v>
      </c>
      <c r="O43" s="6">
        <v>72.8</v>
      </c>
      <c r="P43" s="6" t="b">
        <f t="shared" si="7"/>
        <v>0</v>
      </c>
      <c r="Q43" s="6">
        <v>201.4</v>
      </c>
      <c r="R43" s="6" t="b">
        <f t="shared" si="8"/>
        <v>0</v>
      </c>
      <c r="S43" s="6">
        <v>28.3</v>
      </c>
      <c r="T43" s="6" t="b">
        <f t="shared" si="9"/>
        <v>0</v>
      </c>
      <c r="U43" s="6">
        <v>5.0000000000000001E-3</v>
      </c>
      <c r="V43" s="6" t="b">
        <f t="shared" si="10"/>
        <v>0</v>
      </c>
      <c r="W43" s="6">
        <v>65</v>
      </c>
      <c r="X43" s="6" t="b">
        <f t="shared" si="11"/>
        <v>0</v>
      </c>
      <c r="Y43" s="6">
        <v>215</v>
      </c>
      <c r="Z43" s="6" t="b">
        <f t="shared" si="12"/>
        <v>0</v>
      </c>
      <c r="AA43" s="6">
        <v>90.481999999999999</v>
      </c>
      <c r="AB43" s="6" t="b">
        <f t="shared" si="13"/>
        <v>0</v>
      </c>
      <c r="AC43" s="6">
        <v>86.501000000000005</v>
      </c>
      <c r="AD43" s="8" t="b">
        <f t="shared" si="14"/>
        <v>0</v>
      </c>
      <c r="AE43" s="8">
        <f t="shared" si="15"/>
        <v>3.9809999999999945</v>
      </c>
      <c r="AF43" t="b">
        <f t="shared" si="16"/>
        <v>0</v>
      </c>
    </row>
    <row r="44" spans="1:32" x14ac:dyDescent="0.3">
      <c r="A44" s="6">
        <v>675</v>
      </c>
      <c r="B44" s="6" t="b">
        <f t="shared" si="0"/>
        <v>0</v>
      </c>
      <c r="C44" s="6">
        <v>5</v>
      </c>
      <c r="D44" s="6" t="b">
        <f t="shared" si="1"/>
        <v>0</v>
      </c>
      <c r="E44" s="6">
        <v>3.7</v>
      </c>
      <c r="F44" s="6" t="b">
        <f t="shared" si="2"/>
        <v>0</v>
      </c>
      <c r="G44" s="6">
        <v>375</v>
      </c>
      <c r="H44" s="6" t="b">
        <f t="shared" si="3"/>
        <v>0</v>
      </c>
      <c r="I44" s="6">
        <v>0.2</v>
      </c>
      <c r="J44" s="6" t="b">
        <f t="shared" si="4"/>
        <v>0</v>
      </c>
      <c r="K44" s="6">
        <v>0.83899999999999997</v>
      </c>
      <c r="L44" s="6" t="b">
        <f t="shared" si="5"/>
        <v>0</v>
      </c>
      <c r="M44" s="6">
        <v>123</v>
      </c>
      <c r="N44" s="6" t="b">
        <f t="shared" si="6"/>
        <v>0</v>
      </c>
      <c r="O44" s="6">
        <v>65</v>
      </c>
      <c r="P44" s="6" t="b">
        <f t="shared" si="7"/>
        <v>0</v>
      </c>
      <c r="Q44" s="6">
        <v>162.44999999999999</v>
      </c>
      <c r="R44" s="6" t="b">
        <f t="shared" si="8"/>
        <v>0</v>
      </c>
      <c r="S44" s="6">
        <v>32.231999999999999</v>
      </c>
      <c r="T44" s="6" t="b">
        <f t="shared" si="9"/>
        <v>0</v>
      </c>
      <c r="U44" s="6">
        <v>2.4127999999999997E-3</v>
      </c>
      <c r="V44" s="6" t="b">
        <f t="shared" si="10"/>
        <v>0</v>
      </c>
      <c r="W44" s="6">
        <v>65</v>
      </c>
      <c r="X44" s="6" t="b">
        <f t="shared" si="11"/>
        <v>0</v>
      </c>
      <c r="Y44" s="6">
        <v>310</v>
      </c>
      <c r="Z44" s="6" t="b">
        <f t="shared" si="12"/>
        <v>0</v>
      </c>
      <c r="AA44" s="6">
        <v>68.653000000000006</v>
      </c>
      <c r="AB44" s="6" t="b">
        <f t="shared" si="13"/>
        <v>0</v>
      </c>
      <c r="AC44" s="6">
        <v>59.954999999999998</v>
      </c>
      <c r="AD44" s="8" t="b">
        <f t="shared" si="14"/>
        <v>0</v>
      </c>
      <c r="AE44" s="8">
        <f t="shared" si="15"/>
        <v>8.6980000000000075</v>
      </c>
      <c r="AF44" t="b">
        <f t="shared" si="16"/>
        <v>0</v>
      </c>
    </row>
    <row r="45" spans="1:32" x14ac:dyDescent="0.3">
      <c r="A45" s="6">
        <v>675</v>
      </c>
      <c r="B45" s="6" t="b">
        <f t="shared" si="0"/>
        <v>0</v>
      </c>
      <c r="C45" s="6">
        <v>5</v>
      </c>
      <c r="D45" s="6" t="b">
        <f t="shared" si="1"/>
        <v>0</v>
      </c>
      <c r="E45" s="6">
        <v>5.2</v>
      </c>
      <c r="F45" s="6" t="b">
        <f t="shared" si="2"/>
        <v>0</v>
      </c>
      <c r="G45" s="6">
        <v>305</v>
      </c>
      <c r="H45" s="6" t="b">
        <f t="shared" si="3"/>
        <v>0</v>
      </c>
      <c r="I45" s="6">
        <v>2.75</v>
      </c>
      <c r="J45" s="6" t="b">
        <f t="shared" si="4"/>
        <v>0</v>
      </c>
      <c r="K45" s="6">
        <v>0.7</v>
      </c>
      <c r="L45" s="6" t="b">
        <f t="shared" si="5"/>
        <v>0</v>
      </c>
      <c r="M45" s="6">
        <v>351.51</v>
      </c>
      <c r="N45" s="6" t="b">
        <f t="shared" si="6"/>
        <v>0</v>
      </c>
      <c r="O45" s="6">
        <v>70</v>
      </c>
      <c r="P45" s="6" t="b">
        <f t="shared" si="7"/>
        <v>0</v>
      </c>
      <c r="Q45" s="6">
        <v>167.06</v>
      </c>
      <c r="R45" s="6" t="b">
        <f t="shared" si="8"/>
        <v>0</v>
      </c>
      <c r="S45" s="6">
        <v>26.001000000000001</v>
      </c>
      <c r="T45" s="6" t="b">
        <f t="shared" si="9"/>
        <v>0</v>
      </c>
      <c r="U45" s="6">
        <v>3.6186E-3</v>
      </c>
      <c r="V45" s="6" t="b">
        <f t="shared" si="10"/>
        <v>0</v>
      </c>
      <c r="W45" s="6">
        <v>65</v>
      </c>
      <c r="X45" s="6" t="b">
        <f t="shared" si="11"/>
        <v>0</v>
      </c>
      <c r="Y45" s="6">
        <v>240</v>
      </c>
      <c r="Z45" s="6" t="b">
        <f t="shared" si="12"/>
        <v>0</v>
      </c>
      <c r="AA45" s="6">
        <v>116.339</v>
      </c>
      <c r="AB45" s="6" t="b">
        <f t="shared" si="13"/>
        <v>0</v>
      </c>
      <c r="AC45" s="6">
        <v>106.211</v>
      </c>
      <c r="AD45" s="8" t="b">
        <f t="shared" si="14"/>
        <v>1</v>
      </c>
      <c r="AE45" s="8">
        <f t="shared" si="15"/>
        <v>10.128</v>
      </c>
      <c r="AF45" t="b">
        <f t="shared" si="16"/>
        <v>0</v>
      </c>
    </row>
    <row r="46" spans="1:32" x14ac:dyDescent="0.3">
      <c r="A46" s="6">
        <v>700</v>
      </c>
      <c r="B46" s="6" t="b">
        <f t="shared" si="0"/>
        <v>0</v>
      </c>
      <c r="C46" s="6">
        <v>5</v>
      </c>
      <c r="D46" s="6" t="b">
        <f t="shared" si="1"/>
        <v>0</v>
      </c>
      <c r="E46" s="6">
        <v>6.8</v>
      </c>
      <c r="F46" s="6" t="b">
        <f t="shared" si="2"/>
        <v>0</v>
      </c>
      <c r="G46" s="6">
        <v>345</v>
      </c>
      <c r="H46" s="6" t="b">
        <f t="shared" si="3"/>
        <v>0</v>
      </c>
      <c r="I46" s="6">
        <v>2.5</v>
      </c>
      <c r="J46" s="6" t="b">
        <f t="shared" si="4"/>
        <v>0</v>
      </c>
      <c r="K46" s="6">
        <v>0.85</v>
      </c>
      <c r="L46" s="6" t="b">
        <f t="shared" si="5"/>
        <v>0</v>
      </c>
      <c r="M46" s="6">
        <v>337.14</v>
      </c>
      <c r="N46" s="6" t="b">
        <f t="shared" si="6"/>
        <v>0</v>
      </c>
      <c r="O46" s="6">
        <v>50</v>
      </c>
      <c r="P46" s="6" t="b">
        <f t="shared" si="7"/>
        <v>0</v>
      </c>
      <c r="Q46" s="6">
        <v>136.15</v>
      </c>
      <c r="R46" s="6" t="b">
        <f t="shared" si="8"/>
        <v>0</v>
      </c>
      <c r="S46" s="6">
        <v>29.821999999999999</v>
      </c>
      <c r="T46" s="6" t="b">
        <f t="shared" si="9"/>
        <v>0</v>
      </c>
      <c r="U46" s="6">
        <v>3.4196000000000001E-3</v>
      </c>
      <c r="V46" s="6" t="b">
        <f t="shared" si="10"/>
        <v>0</v>
      </c>
      <c r="W46" s="6">
        <v>65</v>
      </c>
      <c r="X46" s="6" t="b">
        <f t="shared" si="11"/>
        <v>0</v>
      </c>
      <c r="Y46" s="6">
        <v>280</v>
      </c>
      <c r="Z46" s="6" t="b">
        <f t="shared" si="12"/>
        <v>0</v>
      </c>
      <c r="AA46" s="6">
        <v>95.710999999999999</v>
      </c>
      <c r="AB46" s="6" t="b">
        <f t="shared" si="13"/>
        <v>0</v>
      </c>
      <c r="AC46" s="6">
        <v>76.748000000000005</v>
      </c>
      <c r="AD46" s="8" t="b">
        <f t="shared" si="14"/>
        <v>0</v>
      </c>
      <c r="AE46" s="8">
        <f t="shared" si="15"/>
        <v>18.962999999999994</v>
      </c>
      <c r="AF46" t="b">
        <f t="shared" si="16"/>
        <v>0</v>
      </c>
    </row>
    <row r="47" spans="1:32" x14ac:dyDescent="0.3">
      <c r="A47" s="6">
        <v>700</v>
      </c>
      <c r="B47" s="6" t="b">
        <f t="shared" si="0"/>
        <v>0</v>
      </c>
      <c r="C47" s="6">
        <v>6</v>
      </c>
      <c r="D47" s="6" t="b">
        <f t="shared" si="1"/>
        <v>0</v>
      </c>
      <c r="E47" s="6">
        <v>4.5999999999999996</v>
      </c>
      <c r="F47" s="6" t="b">
        <f t="shared" si="2"/>
        <v>0</v>
      </c>
      <c r="G47" s="6">
        <v>350</v>
      </c>
      <c r="H47" s="6" t="b">
        <f t="shared" si="3"/>
        <v>0</v>
      </c>
      <c r="I47" s="6">
        <v>2</v>
      </c>
      <c r="J47" s="6" t="b">
        <f t="shared" si="4"/>
        <v>0</v>
      </c>
      <c r="K47" s="6">
        <v>0.83899999999999997</v>
      </c>
      <c r="L47" s="6" t="b">
        <f t="shared" si="5"/>
        <v>0</v>
      </c>
      <c r="M47" s="6">
        <v>128.16999999999999</v>
      </c>
      <c r="N47" s="6" t="b">
        <f t="shared" si="6"/>
        <v>0</v>
      </c>
      <c r="O47" s="6">
        <v>71.8</v>
      </c>
      <c r="P47" s="6" t="b">
        <f t="shared" si="7"/>
        <v>0</v>
      </c>
      <c r="Q47" s="6">
        <v>171.1</v>
      </c>
      <c r="R47" s="6" t="b">
        <f t="shared" si="8"/>
        <v>0</v>
      </c>
      <c r="S47" s="6">
        <v>37.6</v>
      </c>
      <c r="T47" s="6" t="b">
        <f t="shared" si="9"/>
        <v>0</v>
      </c>
      <c r="U47" s="6">
        <v>4.4000000000000003E-3</v>
      </c>
      <c r="V47" s="6" t="b">
        <f t="shared" si="10"/>
        <v>0</v>
      </c>
      <c r="W47" s="6">
        <v>150</v>
      </c>
      <c r="X47" s="6" t="b">
        <f t="shared" si="11"/>
        <v>1</v>
      </c>
      <c r="Y47" s="6">
        <v>200</v>
      </c>
      <c r="Z47" s="6" t="b">
        <f t="shared" si="12"/>
        <v>0</v>
      </c>
      <c r="AA47" s="6">
        <v>105.89700000000001</v>
      </c>
      <c r="AB47" s="6" t="b">
        <f t="shared" si="13"/>
        <v>0</v>
      </c>
      <c r="AC47" s="6">
        <v>99.986999999999995</v>
      </c>
      <c r="AD47" s="8" t="b">
        <f t="shared" si="14"/>
        <v>0</v>
      </c>
      <c r="AE47" s="8">
        <f t="shared" si="15"/>
        <v>5.9100000000000108</v>
      </c>
      <c r="AF47" t="b">
        <f t="shared" si="16"/>
        <v>0</v>
      </c>
    </row>
    <row r="48" spans="1:32" x14ac:dyDescent="0.3">
      <c r="A48" s="6">
        <v>720</v>
      </c>
      <c r="B48" s="6" t="b">
        <f t="shared" si="0"/>
        <v>0</v>
      </c>
      <c r="C48" s="6">
        <v>5</v>
      </c>
      <c r="D48" s="6" t="b">
        <f t="shared" si="1"/>
        <v>0</v>
      </c>
      <c r="E48" s="6">
        <v>7.8</v>
      </c>
      <c r="F48" s="6" t="b">
        <f t="shared" si="2"/>
        <v>0</v>
      </c>
      <c r="G48" s="6">
        <v>375</v>
      </c>
      <c r="H48" s="6" t="b">
        <f t="shared" si="3"/>
        <v>0</v>
      </c>
      <c r="I48" s="6">
        <v>1.5</v>
      </c>
      <c r="J48" s="6" t="b">
        <f t="shared" si="4"/>
        <v>0</v>
      </c>
      <c r="K48" s="6">
        <v>0.83899999999999997</v>
      </c>
      <c r="L48" s="6" t="b">
        <f t="shared" si="5"/>
        <v>0</v>
      </c>
      <c r="M48" s="6">
        <v>336.23</v>
      </c>
      <c r="N48" s="6" t="b">
        <f t="shared" si="6"/>
        <v>0</v>
      </c>
      <c r="O48" s="6">
        <v>70</v>
      </c>
      <c r="P48" s="6" t="b">
        <f t="shared" si="7"/>
        <v>0</v>
      </c>
      <c r="Q48" s="6">
        <v>132.86000000000001</v>
      </c>
      <c r="R48" s="6" t="b">
        <f t="shared" si="8"/>
        <v>0</v>
      </c>
      <c r="S48" s="6">
        <v>32.109000000000002</v>
      </c>
      <c r="T48" s="6" t="b">
        <f t="shared" si="9"/>
        <v>0</v>
      </c>
      <c r="U48" s="6">
        <v>3.8E-3</v>
      </c>
      <c r="V48" s="6" t="b">
        <f t="shared" si="10"/>
        <v>0</v>
      </c>
      <c r="W48" s="6">
        <v>65</v>
      </c>
      <c r="X48" s="6" t="b">
        <f t="shared" si="11"/>
        <v>0</v>
      </c>
      <c r="Y48" s="6">
        <v>310</v>
      </c>
      <c r="Z48" s="6" t="b">
        <f t="shared" si="12"/>
        <v>0</v>
      </c>
      <c r="AA48" s="6">
        <v>129.25399999999999</v>
      </c>
      <c r="AB48" s="6" t="b">
        <f t="shared" si="13"/>
        <v>0</v>
      </c>
      <c r="AC48" s="6">
        <v>123.16</v>
      </c>
      <c r="AD48" s="8" t="b">
        <f t="shared" si="14"/>
        <v>1</v>
      </c>
      <c r="AE48" s="8">
        <f t="shared" si="15"/>
        <v>6.0939999999999941</v>
      </c>
      <c r="AF48" t="b">
        <f t="shared" si="16"/>
        <v>0</v>
      </c>
    </row>
    <row r="49" spans="1:32" x14ac:dyDescent="0.3">
      <c r="A49" s="6">
        <v>665</v>
      </c>
      <c r="B49" s="6" t="b">
        <f t="shared" si="0"/>
        <v>0</v>
      </c>
      <c r="C49" s="6">
        <v>5</v>
      </c>
      <c r="D49" s="6" t="b">
        <f t="shared" si="1"/>
        <v>0</v>
      </c>
      <c r="E49" s="6">
        <v>5</v>
      </c>
      <c r="F49" s="6" t="b">
        <f t="shared" si="2"/>
        <v>0</v>
      </c>
      <c r="G49" s="6">
        <v>395</v>
      </c>
      <c r="H49" s="6" t="b">
        <f t="shared" si="3"/>
        <v>0</v>
      </c>
      <c r="I49" s="6">
        <v>0.7</v>
      </c>
      <c r="J49" s="6" t="b">
        <f t="shared" si="4"/>
        <v>0</v>
      </c>
      <c r="K49" s="6">
        <v>0.65600000000000003</v>
      </c>
      <c r="L49" s="6" t="b">
        <f t="shared" si="5"/>
        <v>0</v>
      </c>
      <c r="M49" s="6">
        <v>210.85</v>
      </c>
      <c r="N49" s="6" t="b">
        <f t="shared" si="6"/>
        <v>0</v>
      </c>
      <c r="O49" s="6">
        <v>38.299999999999997</v>
      </c>
      <c r="P49" s="6" t="b">
        <f t="shared" si="7"/>
        <v>0</v>
      </c>
      <c r="Q49" s="6">
        <v>158</v>
      </c>
      <c r="R49" s="6" t="b">
        <f t="shared" si="8"/>
        <v>0</v>
      </c>
      <c r="S49" s="6">
        <v>23</v>
      </c>
      <c r="T49" s="6" t="b">
        <f t="shared" si="9"/>
        <v>0</v>
      </c>
      <c r="U49" s="6">
        <v>6.2137163349725699E-3</v>
      </c>
      <c r="V49" s="6" t="b">
        <f t="shared" si="10"/>
        <v>1</v>
      </c>
      <c r="W49" s="6">
        <v>65</v>
      </c>
      <c r="X49" s="6" t="b">
        <f t="shared" si="11"/>
        <v>0</v>
      </c>
      <c r="Y49" s="6">
        <v>330</v>
      </c>
      <c r="Z49" s="6" t="b">
        <f t="shared" si="12"/>
        <v>0</v>
      </c>
      <c r="AA49" s="6">
        <v>110.789</v>
      </c>
      <c r="AB49" s="6" t="b">
        <f t="shared" si="13"/>
        <v>0</v>
      </c>
      <c r="AC49" s="6">
        <v>103.512</v>
      </c>
      <c r="AD49" s="8" t="b">
        <f t="shared" si="14"/>
        <v>1</v>
      </c>
      <c r="AE49" s="8">
        <f t="shared" si="15"/>
        <v>7.277000000000001</v>
      </c>
      <c r="AF49" t="b">
        <f t="shared" si="16"/>
        <v>0</v>
      </c>
    </row>
    <row r="50" spans="1:32" x14ac:dyDescent="0.3">
      <c r="A50" s="6">
        <v>690</v>
      </c>
      <c r="B50" s="6" t="b">
        <f t="shared" si="0"/>
        <v>0</v>
      </c>
      <c r="C50" s="6">
        <v>5</v>
      </c>
      <c r="D50" s="6" t="b">
        <f t="shared" si="1"/>
        <v>0</v>
      </c>
      <c r="E50" s="6">
        <v>5.0999999999999996</v>
      </c>
      <c r="F50" s="6" t="b">
        <f t="shared" si="2"/>
        <v>0</v>
      </c>
      <c r="G50" s="6">
        <v>245</v>
      </c>
      <c r="H50" s="6" t="b">
        <f t="shared" si="3"/>
        <v>0</v>
      </c>
      <c r="I50" s="6">
        <v>0.8</v>
      </c>
      <c r="J50" s="6" t="b">
        <f t="shared" si="4"/>
        <v>0</v>
      </c>
      <c r="K50" s="6">
        <v>0.73</v>
      </c>
      <c r="L50" s="6" t="b">
        <f t="shared" si="5"/>
        <v>0</v>
      </c>
      <c r="M50" s="6">
        <v>320.60000000000002</v>
      </c>
      <c r="N50" s="6" t="b">
        <f t="shared" si="6"/>
        <v>0</v>
      </c>
      <c r="O50" s="6">
        <v>69.8</v>
      </c>
      <c r="P50" s="6" t="b">
        <f t="shared" si="7"/>
        <v>0</v>
      </c>
      <c r="Q50" s="6">
        <v>133.19999999999999</v>
      </c>
      <c r="R50" s="6" t="b">
        <f t="shared" si="8"/>
        <v>0</v>
      </c>
      <c r="S50" s="6">
        <v>41.59</v>
      </c>
      <c r="T50" s="6" t="b">
        <f t="shared" si="9"/>
        <v>0</v>
      </c>
      <c r="U50" s="6">
        <v>4.13E-3</v>
      </c>
      <c r="V50" s="6" t="b">
        <f t="shared" si="10"/>
        <v>0</v>
      </c>
      <c r="W50" s="6">
        <v>60</v>
      </c>
      <c r="X50" s="6" t="b">
        <f t="shared" si="11"/>
        <v>0</v>
      </c>
      <c r="Y50" s="6">
        <v>185</v>
      </c>
      <c r="Z50" s="6" t="b">
        <f t="shared" si="12"/>
        <v>0</v>
      </c>
      <c r="AA50" s="6">
        <v>130.50800000000001</v>
      </c>
      <c r="AB50" s="6" t="b">
        <f t="shared" si="13"/>
        <v>0</v>
      </c>
      <c r="AC50" s="6">
        <v>89.025999999999996</v>
      </c>
      <c r="AD50" s="8" t="b">
        <f t="shared" si="14"/>
        <v>0</v>
      </c>
      <c r="AE50" s="8">
        <f t="shared" si="15"/>
        <v>41.482000000000014</v>
      </c>
      <c r="AF50" t="b">
        <f t="shared" si="16"/>
        <v>0</v>
      </c>
    </row>
    <row r="51" spans="1:32" x14ac:dyDescent="0.3">
      <c r="A51" s="6">
        <v>700</v>
      </c>
      <c r="B51" s="6" t="b">
        <f t="shared" si="0"/>
        <v>0</v>
      </c>
      <c r="C51" s="6">
        <v>5</v>
      </c>
      <c r="D51" s="6" t="b">
        <f t="shared" si="1"/>
        <v>0</v>
      </c>
      <c r="E51" s="6">
        <v>5.5</v>
      </c>
      <c r="F51" s="6" t="b">
        <f t="shared" si="2"/>
        <v>0</v>
      </c>
      <c r="G51" s="6">
        <v>380</v>
      </c>
      <c r="H51" s="6" t="b">
        <f t="shared" si="3"/>
        <v>0</v>
      </c>
      <c r="I51" s="6">
        <v>0.7</v>
      </c>
      <c r="J51" s="6" t="b">
        <f t="shared" si="4"/>
        <v>0</v>
      </c>
      <c r="K51" s="6">
        <v>0.65600000000000003</v>
      </c>
      <c r="L51" s="6" t="b">
        <f t="shared" si="5"/>
        <v>0</v>
      </c>
      <c r="M51" s="6">
        <v>310</v>
      </c>
      <c r="N51" s="6" t="b">
        <f t="shared" si="6"/>
        <v>0</v>
      </c>
      <c r="O51" s="6">
        <v>39.26</v>
      </c>
      <c r="P51" s="6" t="b">
        <f t="shared" si="7"/>
        <v>0</v>
      </c>
      <c r="Q51" s="6">
        <v>136</v>
      </c>
      <c r="R51" s="6" t="b">
        <f t="shared" si="8"/>
        <v>0</v>
      </c>
      <c r="S51" s="6">
        <v>28</v>
      </c>
      <c r="T51" s="6" t="b">
        <f t="shared" si="9"/>
        <v>0</v>
      </c>
      <c r="U51" s="6">
        <v>5.888896159131061E-3</v>
      </c>
      <c r="V51" s="6" t="b">
        <f t="shared" si="10"/>
        <v>1</v>
      </c>
      <c r="W51" s="6">
        <v>150</v>
      </c>
      <c r="X51" s="6" t="b">
        <f t="shared" si="11"/>
        <v>1</v>
      </c>
      <c r="Y51" s="6">
        <v>230</v>
      </c>
      <c r="Z51" s="6" t="b">
        <f t="shared" si="12"/>
        <v>0</v>
      </c>
      <c r="AA51" s="6">
        <v>104.977</v>
      </c>
      <c r="AB51" s="6" t="b">
        <f t="shared" si="13"/>
        <v>0</v>
      </c>
      <c r="AC51" s="6">
        <v>86.552999999999997</v>
      </c>
      <c r="AD51" s="8" t="b">
        <f t="shared" si="14"/>
        <v>0</v>
      </c>
      <c r="AE51" s="8">
        <f t="shared" si="15"/>
        <v>18.424000000000007</v>
      </c>
      <c r="AF51" t="b">
        <f t="shared" si="16"/>
        <v>0</v>
      </c>
    </row>
    <row r="52" spans="1:32" x14ac:dyDescent="0.3">
      <c r="A52" s="6">
        <v>700</v>
      </c>
      <c r="B52" s="6" t="b">
        <f t="shared" si="0"/>
        <v>0</v>
      </c>
      <c r="C52" s="6">
        <v>5</v>
      </c>
      <c r="D52" s="6" t="b">
        <f t="shared" si="1"/>
        <v>0</v>
      </c>
      <c r="E52" s="6">
        <v>4.5</v>
      </c>
      <c r="F52" s="6" t="b">
        <f t="shared" si="2"/>
        <v>0</v>
      </c>
      <c r="G52" s="6">
        <v>330</v>
      </c>
      <c r="H52" s="6" t="b">
        <f t="shared" si="3"/>
        <v>0</v>
      </c>
      <c r="I52" s="6">
        <v>0.6</v>
      </c>
      <c r="J52" s="6" t="b">
        <f t="shared" si="4"/>
        <v>0</v>
      </c>
      <c r="K52" s="6">
        <v>0.69299999999999995</v>
      </c>
      <c r="L52" s="6" t="b">
        <f t="shared" si="5"/>
        <v>0</v>
      </c>
      <c r="M52" s="6">
        <v>135</v>
      </c>
      <c r="N52" s="6" t="b">
        <f t="shared" si="6"/>
        <v>0</v>
      </c>
      <c r="O52" s="6">
        <v>69.8</v>
      </c>
      <c r="P52" s="6" t="b">
        <f t="shared" si="7"/>
        <v>0</v>
      </c>
      <c r="Q52" s="6">
        <v>159</v>
      </c>
      <c r="R52" s="6" t="b">
        <f t="shared" si="8"/>
        <v>0</v>
      </c>
      <c r="S52" s="6">
        <v>43</v>
      </c>
      <c r="T52" s="6" t="b">
        <f t="shared" si="9"/>
        <v>0</v>
      </c>
      <c r="U52" s="6">
        <v>3.4846674631620863E-3</v>
      </c>
      <c r="V52" s="6" t="b">
        <f t="shared" si="10"/>
        <v>0</v>
      </c>
      <c r="W52" s="6">
        <v>150</v>
      </c>
      <c r="X52" s="6" t="b">
        <f t="shared" si="11"/>
        <v>1</v>
      </c>
      <c r="Y52" s="6">
        <v>180</v>
      </c>
      <c r="Z52" s="6" t="b">
        <f t="shared" si="12"/>
        <v>0</v>
      </c>
      <c r="AA52" s="6">
        <v>125.167</v>
      </c>
      <c r="AB52" s="6" t="b">
        <f t="shared" si="13"/>
        <v>0</v>
      </c>
      <c r="AC52" s="6">
        <v>111.577</v>
      </c>
      <c r="AD52" s="8" t="b">
        <f t="shared" si="14"/>
        <v>1</v>
      </c>
      <c r="AE52" s="8">
        <f t="shared" si="15"/>
        <v>13.590000000000003</v>
      </c>
      <c r="AF52" t="b">
        <f t="shared" si="16"/>
        <v>0</v>
      </c>
    </row>
    <row r="53" spans="1:32" x14ac:dyDescent="0.3">
      <c r="A53" s="6">
        <v>238</v>
      </c>
      <c r="B53" s="6" t="b">
        <f t="shared" si="0"/>
        <v>0</v>
      </c>
      <c r="C53" s="6">
        <v>3</v>
      </c>
      <c r="D53" s="6" t="b">
        <f t="shared" si="1"/>
        <v>0</v>
      </c>
      <c r="E53" s="6">
        <v>2.1</v>
      </c>
      <c r="F53" s="6" t="b">
        <f t="shared" si="2"/>
        <v>0</v>
      </c>
      <c r="G53" s="6">
        <v>360</v>
      </c>
      <c r="H53" s="6" t="b">
        <f t="shared" si="3"/>
        <v>0</v>
      </c>
      <c r="I53" s="6">
        <v>1.4</v>
      </c>
      <c r="J53" s="6" t="b">
        <f t="shared" si="4"/>
        <v>0</v>
      </c>
      <c r="K53" s="6">
        <v>0.73</v>
      </c>
      <c r="L53" s="6" t="b">
        <f t="shared" si="5"/>
        <v>0</v>
      </c>
      <c r="M53" s="6">
        <v>113</v>
      </c>
      <c r="N53" s="6" t="b">
        <f t="shared" si="6"/>
        <v>0</v>
      </c>
      <c r="O53" s="6">
        <v>50</v>
      </c>
      <c r="P53" s="6" t="b">
        <f t="shared" si="7"/>
        <v>0</v>
      </c>
      <c r="Q53" s="6">
        <v>96.650999999999996</v>
      </c>
      <c r="R53" s="6" t="b">
        <f t="shared" si="8"/>
        <v>0</v>
      </c>
      <c r="S53" s="6">
        <v>65.162999999999997</v>
      </c>
      <c r="T53" s="6" t="b">
        <f t="shared" si="9"/>
        <v>1</v>
      </c>
      <c r="U53" s="6">
        <v>2.8573000000000001E-3</v>
      </c>
      <c r="V53" s="6" t="b">
        <f t="shared" si="10"/>
        <v>0</v>
      </c>
      <c r="W53" s="6">
        <v>110</v>
      </c>
      <c r="X53" s="6" t="b">
        <f t="shared" si="11"/>
        <v>0</v>
      </c>
      <c r="Y53" s="6">
        <v>250</v>
      </c>
      <c r="Z53" s="6" t="b">
        <f t="shared" si="12"/>
        <v>0</v>
      </c>
      <c r="AA53" s="6">
        <v>22.963000000000001</v>
      </c>
      <c r="AB53" s="6" t="b">
        <f t="shared" si="13"/>
        <v>0</v>
      </c>
      <c r="AC53" s="6">
        <v>17.145</v>
      </c>
      <c r="AD53" s="8" t="b">
        <f t="shared" si="14"/>
        <v>0</v>
      </c>
      <c r="AE53" s="8">
        <f t="shared" si="15"/>
        <v>5.8180000000000014</v>
      </c>
      <c r="AF53" t="b">
        <f t="shared" si="16"/>
        <v>0</v>
      </c>
    </row>
    <row r="54" spans="1:32" x14ac:dyDescent="0.3">
      <c r="A54" s="6">
        <v>697</v>
      </c>
      <c r="B54" s="6" t="b">
        <f t="shared" si="0"/>
        <v>0</v>
      </c>
      <c r="C54" s="6">
        <v>5</v>
      </c>
      <c r="D54" s="6" t="b">
        <f t="shared" si="1"/>
        <v>0</v>
      </c>
      <c r="E54" s="6">
        <v>4.5</v>
      </c>
      <c r="F54" s="6" t="b">
        <f t="shared" si="2"/>
        <v>0</v>
      </c>
      <c r="G54" s="6">
        <v>375</v>
      </c>
      <c r="H54" s="6" t="b">
        <f t="shared" si="3"/>
        <v>0</v>
      </c>
      <c r="I54" s="6">
        <v>2.5</v>
      </c>
      <c r="J54" s="6" t="b">
        <f t="shared" si="4"/>
        <v>0</v>
      </c>
      <c r="K54" s="6">
        <v>0.73</v>
      </c>
      <c r="L54" s="6" t="b">
        <f t="shared" si="5"/>
        <v>0</v>
      </c>
      <c r="M54" s="6">
        <v>159.13999999999999</v>
      </c>
      <c r="N54" s="6" t="b">
        <f t="shared" si="6"/>
        <v>0</v>
      </c>
      <c r="O54" s="6">
        <v>65</v>
      </c>
      <c r="P54" s="6" t="b">
        <f t="shared" si="7"/>
        <v>0</v>
      </c>
      <c r="Q54" s="6">
        <v>148.22</v>
      </c>
      <c r="R54" s="6" t="b">
        <f t="shared" si="8"/>
        <v>0</v>
      </c>
      <c r="S54" s="6">
        <v>37.909999999999997</v>
      </c>
      <c r="T54" s="6" t="b">
        <f t="shared" si="9"/>
        <v>0</v>
      </c>
      <c r="U54" s="6">
        <v>3.6501000000000003E-3</v>
      </c>
      <c r="V54" s="6" t="b">
        <f t="shared" si="10"/>
        <v>0</v>
      </c>
      <c r="W54" s="6">
        <v>65</v>
      </c>
      <c r="X54" s="6" t="b">
        <f t="shared" si="11"/>
        <v>0</v>
      </c>
      <c r="Y54" s="6">
        <v>310</v>
      </c>
      <c r="Z54" s="6" t="b">
        <f t="shared" si="12"/>
        <v>0</v>
      </c>
      <c r="AA54" s="6">
        <v>48.031999999999996</v>
      </c>
      <c r="AB54" s="6" t="b">
        <f t="shared" si="13"/>
        <v>0</v>
      </c>
      <c r="AC54" s="6">
        <v>42.406999999999996</v>
      </c>
      <c r="AD54" s="8" t="b">
        <f t="shared" si="14"/>
        <v>0</v>
      </c>
      <c r="AE54" s="8">
        <f t="shared" si="15"/>
        <v>5.625</v>
      </c>
      <c r="AF54" t="b">
        <f t="shared" si="16"/>
        <v>0</v>
      </c>
    </row>
    <row r="55" spans="1:32" x14ac:dyDescent="0.3">
      <c r="A55" s="6">
        <v>721</v>
      </c>
      <c r="B55" s="6" t="b">
        <f t="shared" si="0"/>
        <v>0</v>
      </c>
      <c r="C55" s="6">
        <v>5</v>
      </c>
      <c r="D55" s="6" t="b">
        <f t="shared" si="1"/>
        <v>0</v>
      </c>
      <c r="E55" s="6">
        <v>7.8</v>
      </c>
      <c r="F55" s="6" t="b">
        <f t="shared" si="2"/>
        <v>0</v>
      </c>
      <c r="G55" s="6">
        <v>380</v>
      </c>
      <c r="H55" s="6" t="b">
        <f t="shared" si="3"/>
        <v>0</v>
      </c>
      <c r="I55" s="6">
        <v>2</v>
      </c>
      <c r="J55" s="6" t="b">
        <f t="shared" si="4"/>
        <v>0</v>
      </c>
      <c r="K55" s="6">
        <v>0.83899999999999997</v>
      </c>
      <c r="L55" s="6" t="b">
        <f t="shared" si="5"/>
        <v>0</v>
      </c>
      <c r="M55" s="6">
        <v>154.22999999999999</v>
      </c>
      <c r="N55" s="6" t="b">
        <f t="shared" si="6"/>
        <v>0</v>
      </c>
      <c r="O55" s="6">
        <v>62.6</v>
      </c>
      <c r="P55" s="6" t="b">
        <f t="shared" si="7"/>
        <v>0</v>
      </c>
      <c r="Q55" s="6">
        <v>121.2</v>
      </c>
      <c r="R55" s="6" t="b">
        <f t="shared" si="8"/>
        <v>0</v>
      </c>
      <c r="S55" s="6">
        <v>41.7</v>
      </c>
      <c r="T55" s="6" t="b">
        <f t="shared" si="9"/>
        <v>0</v>
      </c>
      <c r="U55" s="6">
        <v>3.5000000000000001E-3</v>
      </c>
      <c r="V55" s="6" t="b">
        <f t="shared" si="10"/>
        <v>0</v>
      </c>
      <c r="W55" s="6">
        <v>65</v>
      </c>
      <c r="X55" s="6" t="b">
        <f t="shared" si="11"/>
        <v>0</v>
      </c>
      <c r="Y55" s="6">
        <v>315</v>
      </c>
      <c r="Z55" s="6" t="b">
        <f t="shared" si="12"/>
        <v>0</v>
      </c>
      <c r="AA55" s="6">
        <v>75.227999999999994</v>
      </c>
      <c r="AB55" s="6" t="b">
        <f t="shared" si="13"/>
        <v>0</v>
      </c>
      <c r="AC55" s="6">
        <v>65.206000000000003</v>
      </c>
      <c r="AD55" s="8" t="b">
        <f t="shared" si="14"/>
        <v>0</v>
      </c>
      <c r="AE55" s="8">
        <f t="shared" si="15"/>
        <v>10.021999999999991</v>
      </c>
      <c r="AF55" t="b">
        <f t="shared" si="16"/>
        <v>0</v>
      </c>
    </row>
    <row r="56" spans="1:32" x14ac:dyDescent="0.3">
      <c r="A56" s="6">
        <v>260</v>
      </c>
      <c r="B56" s="6" t="b">
        <f t="shared" si="0"/>
        <v>0</v>
      </c>
      <c r="C56" s="6">
        <v>3</v>
      </c>
      <c r="D56" s="6" t="b">
        <f t="shared" si="1"/>
        <v>0</v>
      </c>
      <c r="E56" s="6">
        <v>1.6</v>
      </c>
      <c r="F56" s="6" t="b">
        <f t="shared" si="2"/>
        <v>0</v>
      </c>
      <c r="G56" s="6">
        <v>370</v>
      </c>
      <c r="H56" s="6" t="b">
        <f t="shared" si="3"/>
        <v>0</v>
      </c>
      <c r="I56" s="6">
        <v>1.7</v>
      </c>
      <c r="J56" s="6" t="b">
        <f t="shared" si="4"/>
        <v>0</v>
      </c>
      <c r="K56" s="6">
        <v>0.73</v>
      </c>
      <c r="L56" s="6" t="b">
        <f t="shared" si="5"/>
        <v>0</v>
      </c>
      <c r="M56" s="6">
        <v>322.02999999999997</v>
      </c>
      <c r="N56" s="6" t="b">
        <f t="shared" si="6"/>
        <v>0</v>
      </c>
      <c r="O56" s="6">
        <v>50</v>
      </c>
      <c r="P56" s="6" t="b">
        <f t="shared" si="7"/>
        <v>0</v>
      </c>
      <c r="Q56" s="6">
        <v>124.98</v>
      </c>
      <c r="R56" s="6" t="b">
        <f t="shared" si="8"/>
        <v>0</v>
      </c>
      <c r="S56" s="6">
        <v>39.345999999999997</v>
      </c>
      <c r="T56" s="6" t="b">
        <f t="shared" si="9"/>
        <v>0</v>
      </c>
      <c r="U56" s="6">
        <v>3.1849000000000001E-3</v>
      </c>
      <c r="V56" s="6" t="b">
        <f t="shared" si="10"/>
        <v>0</v>
      </c>
      <c r="W56" s="6">
        <v>100</v>
      </c>
      <c r="X56" s="6" t="b">
        <f t="shared" si="11"/>
        <v>0</v>
      </c>
      <c r="Y56" s="6">
        <v>270</v>
      </c>
      <c r="Z56" s="6" t="b">
        <f t="shared" si="12"/>
        <v>0</v>
      </c>
      <c r="AA56" s="6">
        <v>36.194000000000003</v>
      </c>
      <c r="AB56" s="6" t="b">
        <f t="shared" si="13"/>
        <v>0</v>
      </c>
      <c r="AC56" s="6">
        <v>27.024999999999999</v>
      </c>
      <c r="AD56" s="8" t="b">
        <f t="shared" si="14"/>
        <v>0</v>
      </c>
      <c r="AE56" s="8">
        <f t="shared" si="15"/>
        <v>9.169000000000004</v>
      </c>
      <c r="AF56" t="b">
        <f t="shared" si="16"/>
        <v>0</v>
      </c>
    </row>
    <row r="57" spans="1:32" x14ac:dyDescent="0.3">
      <c r="A57" s="6">
        <v>698</v>
      </c>
      <c r="B57" s="6" t="b">
        <f t="shared" si="0"/>
        <v>0</v>
      </c>
      <c r="C57" s="6">
        <v>6</v>
      </c>
      <c r="D57" s="6" t="b">
        <f t="shared" si="1"/>
        <v>0</v>
      </c>
      <c r="E57" s="6">
        <v>3</v>
      </c>
      <c r="F57" s="6" t="b">
        <f t="shared" si="2"/>
        <v>0</v>
      </c>
      <c r="G57" s="6">
        <v>440</v>
      </c>
      <c r="H57" s="6" t="b">
        <f t="shared" si="3"/>
        <v>0</v>
      </c>
      <c r="I57" s="6">
        <v>0.6</v>
      </c>
      <c r="J57" s="6" t="b">
        <f t="shared" si="4"/>
        <v>0</v>
      </c>
      <c r="K57" s="6">
        <v>0.28999999999999998</v>
      </c>
      <c r="L57" s="6" t="b">
        <f t="shared" si="5"/>
        <v>0</v>
      </c>
      <c r="M57" s="6">
        <v>19</v>
      </c>
      <c r="N57" s="6" t="b">
        <f t="shared" si="6"/>
        <v>0</v>
      </c>
      <c r="O57" s="6">
        <v>89.82</v>
      </c>
      <c r="P57" s="6" t="b">
        <f t="shared" si="7"/>
        <v>0</v>
      </c>
      <c r="Q57" s="6">
        <v>168</v>
      </c>
      <c r="R57" s="6" t="b">
        <f t="shared" si="8"/>
        <v>0</v>
      </c>
      <c r="S57" s="6">
        <v>57</v>
      </c>
      <c r="T57" s="6" t="b">
        <f t="shared" si="9"/>
        <v>0</v>
      </c>
      <c r="U57" s="6">
        <v>2.6106934001670842E-3</v>
      </c>
      <c r="V57" s="6" t="b">
        <f t="shared" si="10"/>
        <v>0</v>
      </c>
      <c r="W57" s="6">
        <v>95</v>
      </c>
      <c r="X57" s="6" t="b">
        <f t="shared" si="11"/>
        <v>0</v>
      </c>
      <c r="Y57" s="6">
        <v>345</v>
      </c>
      <c r="Z57" s="6" t="b">
        <f t="shared" si="12"/>
        <v>0</v>
      </c>
      <c r="AA57" s="6">
        <v>102.85599999999999</v>
      </c>
      <c r="AB57" s="6" t="b">
        <f t="shared" si="13"/>
        <v>0</v>
      </c>
      <c r="AC57" s="6">
        <v>56.247999999999998</v>
      </c>
      <c r="AD57" s="8" t="b">
        <f t="shared" si="14"/>
        <v>0</v>
      </c>
      <c r="AE57" s="8">
        <f t="shared" si="15"/>
        <v>46.607999999999997</v>
      </c>
      <c r="AF57" t="b">
        <f t="shared" si="16"/>
        <v>0</v>
      </c>
    </row>
    <row r="58" spans="1:32" x14ac:dyDescent="0.3">
      <c r="A58" s="6">
        <v>737</v>
      </c>
      <c r="B58" s="6" t="b">
        <f t="shared" si="0"/>
        <v>0</v>
      </c>
      <c r="C58" s="6">
        <v>6</v>
      </c>
      <c r="D58" s="6" t="b">
        <f t="shared" si="1"/>
        <v>0</v>
      </c>
      <c r="E58" s="6">
        <v>4</v>
      </c>
      <c r="F58" s="6" t="b">
        <f t="shared" si="2"/>
        <v>0</v>
      </c>
      <c r="G58" s="6">
        <v>440</v>
      </c>
      <c r="H58" s="6" t="b">
        <f t="shared" si="3"/>
        <v>0</v>
      </c>
      <c r="I58" s="6">
        <v>1.1000000000000001</v>
      </c>
      <c r="J58" s="6" t="b">
        <f t="shared" si="4"/>
        <v>0</v>
      </c>
      <c r="K58" s="6">
        <v>0.84</v>
      </c>
      <c r="L58" s="6" t="b">
        <f t="shared" si="5"/>
        <v>0</v>
      </c>
      <c r="M58" s="6">
        <v>203</v>
      </c>
      <c r="N58" s="6" t="b">
        <f t="shared" si="6"/>
        <v>0</v>
      </c>
      <c r="O58" s="6">
        <v>89.82</v>
      </c>
      <c r="P58" s="6" t="b">
        <f t="shared" si="7"/>
        <v>0</v>
      </c>
      <c r="Q58" s="6">
        <v>171</v>
      </c>
      <c r="R58" s="6" t="b">
        <f t="shared" si="8"/>
        <v>0</v>
      </c>
      <c r="S58" s="6">
        <v>41</v>
      </c>
      <c r="T58" s="6" t="b">
        <f t="shared" si="9"/>
        <v>0</v>
      </c>
      <c r="U58" s="6">
        <v>4.1409582177315838E-3</v>
      </c>
      <c r="V58" s="6" t="b">
        <f t="shared" si="10"/>
        <v>0</v>
      </c>
      <c r="W58" s="6">
        <v>95</v>
      </c>
      <c r="X58" s="6" t="b">
        <f t="shared" si="11"/>
        <v>0</v>
      </c>
      <c r="Y58" s="6">
        <v>345</v>
      </c>
      <c r="Z58" s="6" t="b">
        <f t="shared" si="12"/>
        <v>0</v>
      </c>
      <c r="AA58" s="6">
        <v>97.5</v>
      </c>
      <c r="AB58" s="6" t="b">
        <f t="shared" si="13"/>
        <v>0</v>
      </c>
      <c r="AC58" s="6">
        <v>42.67</v>
      </c>
      <c r="AD58" s="8" t="b">
        <f t="shared" si="14"/>
        <v>0</v>
      </c>
      <c r="AE58" s="8">
        <f t="shared" si="15"/>
        <v>54.83</v>
      </c>
      <c r="AF58" t="b">
        <f t="shared" si="16"/>
        <v>0</v>
      </c>
    </row>
    <row r="59" spans="1:32" x14ac:dyDescent="0.3">
      <c r="A59" s="6">
        <v>700</v>
      </c>
      <c r="B59" s="6" t="b">
        <f t="shared" si="0"/>
        <v>0</v>
      </c>
      <c r="C59" s="6">
        <v>6</v>
      </c>
      <c r="D59" s="6" t="b">
        <f t="shared" si="1"/>
        <v>0</v>
      </c>
      <c r="E59" s="6">
        <v>3</v>
      </c>
      <c r="F59" s="6" t="b">
        <f t="shared" si="2"/>
        <v>0</v>
      </c>
      <c r="G59" s="6">
        <v>440</v>
      </c>
      <c r="H59" s="6" t="b">
        <f t="shared" si="3"/>
        <v>0</v>
      </c>
      <c r="I59" s="6">
        <v>0.6</v>
      </c>
      <c r="J59" s="6" t="b">
        <f t="shared" si="4"/>
        <v>0</v>
      </c>
      <c r="K59" s="6">
        <v>0.28999999999999998</v>
      </c>
      <c r="L59" s="6" t="b">
        <f t="shared" si="5"/>
        <v>0</v>
      </c>
      <c r="M59" s="6">
        <v>18</v>
      </c>
      <c r="N59" s="6" t="b">
        <f t="shared" si="6"/>
        <v>0</v>
      </c>
      <c r="O59" s="6">
        <v>90.2</v>
      </c>
      <c r="P59" s="6" t="b">
        <f t="shared" si="7"/>
        <v>0</v>
      </c>
      <c r="Q59" s="6">
        <v>164</v>
      </c>
      <c r="R59" s="6" t="b">
        <f t="shared" si="8"/>
        <v>0</v>
      </c>
      <c r="S59" s="6">
        <v>59</v>
      </c>
      <c r="T59" s="6" t="b">
        <f t="shared" si="9"/>
        <v>0</v>
      </c>
      <c r="U59" s="6">
        <v>2.58371227780074E-3</v>
      </c>
      <c r="V59" s="6" t="b">
        <f t="shared" si="10"/>
        <v>0</v>
      </c>
      <c r="W59" s="6">
        <v>95</v>
      </c>
      <c r="X59" s="6" t="b">
        <f t="shared" si="11"/>
        <v>0</v>
      </c>
      <c r="Y59" s="6">
        <v>345</v>
      </c>
      <c r="Z59" s="6" t="b">
        <f t="shared" si="12"/>
        <v>0</v>
      </c>
      <c r="AA59" s="6">
        <v>50.673999999999999</v>
      </c>
      <c r="AB59" s="6" t="b">
        <f t="shared" si="13"/>
        <v>0</v>
      </c>
      <c r="AC59" s="6">
        <v>38.896000000000001</v>
      </c>
      <c r="AD59" s="8" t="b">
        <f t="shared" si="14"/>
        <v>0</v>
      </c>
      <c r="AE59" s="8">
        <f t="shared" si="15"/>
        <v>11.777999999999999</v>
      </c>
      <c r="AF59" t="b">
        <f t="shared" si="16"/>
        <v>0</v>
      </c>
    </row>
    <row r="60" spans="1:32" x14ac:dyDescent="0.3">
      <c r="A60" s="6">
        <v>729</v>
      </c>
      <c r="B60" s="6" t="b">
        <f t="shared" si="0"/>
        <v>0</v>
      </c>
      <c r="C60" s="6">
        <v>6</v>
      </c>
      <c r="D60" s="6" t="b">
        <f t="shared" si="1"/>
        <v>0</v>
      </c>
      <c r="E60" s="6">
        <v>4</v>
      </c>
      <c r="F60" s="6" t="b">
        <f t="shared" si="2"/>
        <v>0</v>
      </c>
      <c r="G60" s="6">
        <v>440</v>
      </c>
      <c r="H60" s="6" t="b">
        <f t="shared" si="3"/>
        <v>0</v>
      </c>
      <c r="I60" s="6">
        <v>1.2</v>
      </c>
      <c r="J60" s="6" t="b">
        <f t="shared" si="4"/>
        <v>0</v>
      </c>
      <c r="K60" s="6">
        <v>0.82199999999999995</v>
      </c>
      <c r="L60" s="6" t="b">
        <f t="shared" si="5"/>
        <v>0</v>
      </c>
      <c r="M60" s="6">
        <v>222</v>
      </c>
      <c r="N60" s="6" t="b">
        <f t="shared" si="6"/>
        <v>0</v>
      </c>
      <c r="O60" s="6">
        <v>89.8</v>
      </c>
      <c r="P60" s="6" t="b">
        <f t="shared" si="7"/>
        <v>0</v>
      </c>
      <c r="Q60" s="6">
        <v>205</v>
      </c>
      <c r="R60" s="6" t="b">
        <f t="shared" si="8"/>
        <v>0</v>
      </c>
      <c r="S60" s="6">
        <v>53</v>
      </c>
      <c r="T60" s="6" t="b">
        <f t="shared" si="9"/>
        <v>0</v>
      </c>
      <c r="U60" s="6">
        <v>2.6720900197437763E-3</v>
      </c>
      <c r="V60" s="6" t="b">
        <f t="shared" si="10"/>
        <v>0</v>
      </c>
      <c r="W60" s="6">
        <v>95</v>
      </c>
      <c r="X60" s="6" t="b">
        <f t="shared" si="11"/>
        <v>0</v>
      </c>
      <c r="Y60" s="6">
        <v>345</v>
      </c>
      <c r="Z60" s="6" t="b">
        <f t="shared" si="12"/>
        <v>0</v>
      </c>
      <c r="AA60" s="6">
        <v>65.064999999999998</v>
      </c>
      <c r="AB60" s="6" t="b">
        <f t="shared" si="13"/>
        <v>0</v>
      </c>
      <c r="AC60" s="6">
        <v>36.631</v>
      </c>
      <c r="AD60" s="8" t="b">
        <f t="shared" si="14"/>
        <v>0</v>
      </c>
      <c r="AE60" s="8">
        <f t="shared" si="15"/>
        <v>28.433999999999997</v>
      </c>
      <c r="AF60" t="b">
        <f t="shared" si="16"/>
        <v>0</v>
      </c>
    </row>
    <row r="61" spans="1:32" x14ac:dyDescent="0.3">
      <c r="A61" s="6">
        <v>708</v>
      </c>
      <c r="B61" s="6" t="b">
        <f t="shared" si="0"/>
        <v>0</v>
      </c>
      <c r="C61" s="6">
        <v>5</v>
      </c>
      <c r="D61" s="6" t="b">
        <f t="shared" si="1"/>
        <v>0</v>
      </c>
      <c r="E61" s="6">
        <v>3.5</v>
      </c>
      <c r="F61" s="6" t="b">
        <f t="shared" si="2"/>
        <v>0</v>
      </c>
      <c r="G61" s="6">
        <v>461</v>
      </c>
      <c r="H61" s="6" t="b">
        <f t="shared" si="3"/>
        <v>0</v>
      </c>
      <c r="I61" s="6">
        <v>0.34</v>
      </c>
      <c r="J61" s="6" t="b">
        <f t="shared" si="4"/>
        <v>0</v>
      </c>
      <c r="K61" s="6">
        <v>0.82199999999999995</v>
      </c>
      <c r="L61" s="6" t="b">
        <f t="shared" si="5"/>
        <v>0</v>
      </c>
      <c r="M61" s="6">
        <v>49.11</v>
      </c>
      <c r="N61" s="6" t="b">
        <f t="shared" si="6"/>
        <v>0</v>
      </c>
      <c r="O61" s="6">
        <v>90</v>
      </c>
      <c r="P61" s="6" t="b">
        <f t="shared" si="7"/>
        <v>0</v>
      </c>
      <c r="Q61" s="6">
        <v>136.44999999999999</v>
      </c>
      <c r="R61" s="6" t="b">
        <f t="shared" si="8"/>
        <v>0</v>
      </c>
      <c r="S61" s="6">
        <v>52.712000000000003</v>
      </c>
      <c r="T61" s="6" t="b">
        <f t="shared" si="9"/>
        <v>0</v>
      </c>
      <c r="U61" s="6">
        <v>3.7810000000000001E-3</v>
      </c>
      <c r="V61" s="6" t="b">
        <f t="shared" si="10"/>
        <v>0</v>
      </c>
      <c r="W61" s="6">
        <v>95</v>
      </c>
      <c r="X61" s="6" t="b">
        <f t="shared" si="11"/>
        <v>0</v>
      </c>
      <c r="Y61" s="6">
        <v>366</v>
      </c>
      <c r="Z61" s="6" t="b">
        <f t="shared" si="12"/>
        <v>0</v>
      </c>
      <c r="AA61" s="6">
        <v>61.997</v>
      </c>
      <c r="AB61" s="6" t="b">
        <f t="shared" si="13"/>
        <v>0</v>
      </c>
      <c r="AC61" s="6">
        <v>47.353999999999999</v>
      </c>
      <c r="AD61" s="8" t="b">
        <f t="shared" si="14"/>
        <v>0</v>
      </c>
      <c r="AE61" s="8">
        <f t="shared" si="15"/>
        <v>14.643000000000001</v>
      </c>
      <c r="AF61" t="b">
        <f t="shared" si="16"/>
        <v>0</v>
      </c>
    </row>
    <row r="62" spans="1:32" x14ac:dyDescent="0.3">
      <c r="A62" s="6">
        <v>701</v>
      </c>
      <c r="B62" s="6" t="b">
        <f t="shared" si="0"/>
        <v>0</v>
      </c>
      <c r="C62" s="6">
        <v>6</v>
      </c>
      <c r="D62" s="6" t="b">
        <f t="shared" si="1"/>
        <v>0</v>
      </c>
      <c r="E62" s="6">
        <v>3.5</v>
      </c>
      <c r="F62" s="6" t="b">
        <f t="shared" si="2"/>
        <v>0</v>
      </c>
      <c r="G62" s="6">
        <v>425</v>
      </c>
      <c r="H62" s="6" t="b">
        <f t="shared" si="3"/>
        <v>0</v>
      </c>
      <c r="I62" s="6">
        <v>0.34</v>
      </c>
      <c r="J62" s="6" t="b">
        <f t="shared" si="4"/>
        <v>0</v>
      </c>
      <c r="K62" s="6">
        <v>0.82199999999999995</v>
      </c>
      <c r="L62" s="6" t="b">
        <f t="shared" si="5"/>
        <v>0</v>
      </c>
      <c r="M62" s="6">
        <v>39.200000000000003</v>
      </c>
      <c r="N62" s="6" t="b">
        <f t="shared" si="6"/>
        <v>0</v>
      </c>
      <c r="O62" s="6">
        <v>90</v>
      </c>
      <c r="P62" s="6" t="b">
        <f t="shared" si="7"/>
        <v>0</v>
      </c>
      <c r="Q62" s="6">
        <v>154.80000000000001</v>
      </c>
      <c r="R62" s="6" t="b">
        <f t="shared" si="8"/>
        <v>0</v>
      </c>
      <c r="S62" s="6">
        <v>50.037999999999997</v>
      </c>
      <c r="T62" s="6" t="b">
        <f t="shared" si="9"/>
        <v>0</v>
      </c>
      <c r="U62" s="6">
        <v>3.3708999999999996E-3</v>
      </c>
      <c r="V62" s="6" t="b">
        <f t="shared" si="10"/>
        <v>0</v>
      </c>
      <c r="W62" s="6">
        <v>95</v>
      </c>
      <c r="X62" s="6" t="b">
        <f t="shared" si="11"/>
        <v>0</v>
      </c>
      <c r="Y62" s="6">
        <v>330</v>
      </c>
      <c r="Z62" s="6" t="b">
        <f t="shared" si="12"/>
        <v>0</v>
      </c>
      <c r="AA62" s="6">
        <v>40.567999999999998</v>
      </c>
      <c r="AB62" s="6" t="b">
        <f t="shared" si="13"/>
        <v>0</v>
      </c>
      <c r="AC62" s="6">
        <v>32.21</v>
      </c>
      <c r="AD62" s="8" t="b">
        <f t="shared" si="14"/>
        <v>0</v>
      </c>
      <c r="AE62" s="8">
        <f t="shared" si="15"/>
        <v>8.357999999999997</v>
      </c>
      <c r="AF62" t="b">
        <f t="shared" si="16"/>
        <v>0</v>
      </c>
    </row>
    <row r="63" spans="1:32" x14ac:dyDescent="0.3">
      <c r="A63" s="6">
        <v>750</v>
      </c>
      <c r="B63" s="6" t="b">
        <f t="shared" si="0"/>
        <v>0</v>
      </c>
      <c r="C63" s="6">
        <v>6</v>
      </c>
      <c r="D63" s="6" t="b">
        <f t="shared" si="1"/>
        <v>0</v>
      </c>
      <c r="E63" s="6">
        <v>4</v>
      </c>
      <c r="F63" s="6" t="b">
        <f t="shared" si="2"/>
        <v>0</v>
      </c>
      <c r="G63" s="6">
        <v>450</v>
      </c>
      <c r="H63" s="6" t="b">
        <f t="shared" si="3"/>
        <v>0</v>
      </c>
      <c r="I63" s="6">
        <v>1.2</v>
      </c>
      <c r="J63" s="6" t="b">
        <f t="shared" si="4"/>
        <v>0</v>
      </c>
      <c r="K63" s="6">
        <v>0.82199999999999995</v>
      </c>
      <c r="L63" s="6" t="b">
        <f t="shared" si="5"/>
        <v>0</v>
      </c>
      <c r="M63" s="6">
        <v>39.4</v>
      </c>
      <c r="N63" s="6" t="b">
        <f t="shared" si="6"/>
        <v>0</v>
      </c>
      <c r="O63" s="6">
        <v>89.8</v>
      </c>
      <c r="P63" s="6" t="b">
        <f t="shared" si="7"/>
        <v>0</v>
      </c>
      <c r="Q63" s="6">
        <v>157</v>
      </c>
      <c r="R63" s="6" t="b">
        <f t="shared" si="8"/>
        <v>0</v>
      </c>
      <c r="S63" s="6">
        <v>37</v>
      </c>
      <c r="T63" s="6" t="b">
        <f t="shared" si="9"/>
        <v>0</v>
      </c>
      <c r="U63" s="6">
        <v>4.4424946828891757E-3</v>
      </c>
      <c r="V63" s="6" t="b">
        <f t="shared" si="10"/>
        <v>0</v>
      </c>
      <c r="W63" s="6">
        <v>50</v>
      </c>
      <c r="X63" s="6" t="b">
        <f t="shared" si="11"/>
        <v>0</v>
      </c>
      <c r="Y63" s="6">
        <v>400</v>
      </c>
      <c r="Z63" s="6" t="b">
        <f t="shared" si="12"/>
        <v>0</v>
      </c>
      <c r="AA63" s="6">
        <v>147.923</v>
      </c>
      <c r="AB63" s="6" t="b">
        <f t="shared" si="13"/>
        <v>0</v>
      </c>
      <c r="AC63" s="6">
        <v>88.028000000000006</v>
      </c>
      <c r="AD63" s="8" t="b">
        <f t="shared" si="14"/>
        <v>0</v>
      </c>
      <c r="AE63" s="8">
        <f t="shared" si="15"/>
        <v>59.894999999999996</v>
      </c>
      <c r="AF63" t="b">
        <f t="shared" si="16"/>
        <v>0</v>
      </c>
    </row>
    <row r="64" spans="1:32" x14ac:dyDescent="0.3">
      <c r="A64" s="6">
        <v>715</v>
      </c>
      <c r="B64" s="6" t="b">
        <f t="shared" si="0"/>
        <v>0</v>
      </c>
      <c r="C64" s="6">
        <v>6</v>
      </c>
      <c r="D64" s="6" t="b">
        <f t="shared" si="1"/>
        <v>0</v>
      </c>
      <c r="E64" s="6">
        <v>10.3</v>
      </c>
      <c r="F64" s="6" t="b">
        <f t="shared" si="2"/>
        <v>0</v>
      </c>
      <c r="G64" s="6">
        <v>461</v>
      </c>
      <c r="H64" s="6" t="b">
        <f t="shared" si="3"/>
        <v>0</v>
      </c>
      <c r="I64" s="6">
        <v>0.34</v>
      </c>
      <c r="J64" s="6" t="b">
        <f t="shared" si="4"/>
        <v>0</v>
      </c>
      <c r="K64" s="6">
        <v>0.82199999999999995</v>
      </c>
      <c r="L64" s="6" t="b">
        <f t="shared" si="5"/>
        <v>0</v>
      </c>
      <c r="M64" s="6">
        <v>32.22</v>
      </c>
      <c r="N64" s="6" t="b">
        <f t="shared" si="6"/>
        <v>0</v>
      </c>
      <c r="O64" s="6">
        <v>50</v>
      </c>
      <c r="P64" s="6" t="b">
        <f t="shared" si="7"/>
        <v>0</v>
      </c>
      <c r="Q64" s="6">
        <v>113.7</v>
      </c>
      <c r="R64" s="6" t="b">
        <f t="shared" si="8"/>
        <v>0</v>
      </c>
      <c r="S64" s="6">
        <v>43.2</v>
      </c>
      <c r="T64" s="6" t="b">
        <f t="shared" si="9"/>
        <v>0</v>
      </c>
      <c r="U64" s="6">
        <v>2.9500000000000004E-3</v>
      </c>
      <c r="V64" s="6" t="b">
        <f t="shared" si="10"/>
        <v>0</v>
      </c>
      <c r="W64" s="6">
        <v>230</v>
      </c>
      <c r="X64" s="6" t="b">
        <f t="shared" si="11"/>
        <v>1</v>
      </c>
      <c r="Y64" s="6">
        <v>231</v>
      </c>
      <c r="Z64" s="6" t="b">
        <f t="shared" si="12"/>
        <v>0</v>
      </c>
      <c r="AA64" s="6">
        <v>89.474999999999994</v>
      </c>
      <c r="AB64" s="6" t="b">
        <f t="shared" si="13"/>
        <v>0</v>
      </c>
      <c r="AC64" s="6">
        <v>65.408000000000001</v>
      </c>
      <c r="AD64" s="8" t="b">
        <f t="shared" si="14"/>
        <v>0</v>
      </c>
      <c r="AE64" s="8">
        <f t="shared" si="15"/>
        <v>24.066999999999993</v>
      </c>
      <c r="AF64" t="b">
        <f t="shared" si="16"/>
        <v>0</v>
      </c>
    </row>
    <row r="65" spans="1:32" x14ac:dyDescent="0.3">
      <c r="A65" s="6">
        <v>740</v>
      </c>
      <c r="B65" s="6" t="b">
        <f t="shared" si="0"/>
        <v>0</v>
      </c>
      <c r="C65" s="6">
        <v>5</v>
      </c>
      <c r="D65" s="6" t="b">
        <f t="shared" si="1"/>
        <v>0</v>
      </c>
      <c r="E65" s="6">
        <v>17</v>
      </c>
      <c r="F65" s="6" t="b">
        <f t="shared" si="2"/>
        <v>1</v>
      </c>
      <c r="G65" s="6">
        <v>461</v>
      </c>
      <c r="H65" s="6" t="b">
        <f t="shared" si="3"/>
        <v>0</v>
      </c>
      <c r="I65" s="6">
        <v>0.34</v>
      </c>
      <c r="J65" s="6" t="b">
        <f t="shared" si="4"/>
        <v>0</v>
      </c>
      <c r="K65" s="6">
        <v>0.26</v>
      </c>
      <c r="L65" s="6" t="b">
        <f t="shared" si="5"/>
        <v>0</v>
      </c>
      <c r="M65" s="6">
        <v>215.15</v>
      </c>
      <c r="N65" s="6" t="b">
        <f t="shared" si="6"/>
        <v>0</v>
      </c>
      <c r="O65" s="6">
        <v>91</v>
      </c>
      <c r="P65" s="6" t="b">
        <f t="shared" si="7"/>
        <v>0</v>
      </c>
      <c r="Q65" s="6">
        <v>141.88999999999999</v>
      </c>
      <c r="R65" s="6" t="b">
        <f t="shared" si="8"/>
        <v>0</v>
      </c>
      <c r="S65" s="6">
        <v>58.3</v>
      </c>
      <c r="T65" s="6" t="b">
        <f t="shared" si="9"/>
        <v>0</v>
      </c>
      <c r="U65" s="6">
        <v>2.8E-3</v>
      </c>
      <c r="V65" s="6" t="b">
        <f t="shared" si="10"/>
        <v>0</v>
      </c>
      <c r="W65" s="6">
        <v>95</v>
      </c>
      <c r="X65" s="6" t="b">
        <f t="shared" si="11"/>
        <v>0</v>
      </c>
      <c r="Y65" s="6">
        <v>366</v>
      </c>
      <c r="Z65" s="6" t="b">
        <f t="shared" si="12"/>
        <v>0</v>
      </c>
      <c r="AA65" s="6">
        <v>105.896</v>
      </c>
      <c r="AB65" s="6" t="b">
        <f t="shared" si="13"/>
        <v>0</v>
      </c>
      <c r="AC65" s="6">
        <v>81.012</v>
      </c>
      <c r="AD65" s="8" t="b">
        <f t="shared" si="14"/>
        <v>0</v>
      </c>
      <c r="AE65" s="8">
        <f t="shared" si="15"/>
        <v>24.884</v>
      </c>
      <c r="AF65" t="b">
        <f t="shared" si="16"/>
        <v>0</v>
      </c>
    </row>
    <row r="66" spans="1:32" x14ac:dyDescent="0.3">
      <c r="A66" s="6">
        <v>700</v>
      </c>
      <c r="B66" s="6" t="b">
        <f t="shared" si="0"/>
        <v>0</v>
      </c>
      <c r="C66" s="6">
        <v>5</v>
      </c>
      <c r="D66" s="6" t="b">
        <f t="shared" si="1"/>
        <v>0</v>
      </c>
      <c r="E66" s="6">
        <v>17</v>
      </c>
      <c r="F66" s="6" t="b">
        <f t="shared" si="2"/>
        <v>1</v>
      </c>
      <c r="G66" s="6">
        <v>461</v>
      </c>
      <c r="H66" s="6" t="b">
        <f t="shared" si="3"/>
        <v>0</v>
      </c>
      <c r="I66" s="6">
        <v>0.34</v>
      </c>
      <c r="J66" s="6" t="b">
        <f t="shared" si="4"/>
        <v>0</v>
      </c>
      <c r="K66" s="6">
        <v>0.26</v>
      </c>
      <c r="L66" s="6" t="b">
        <f t="shared" si="5"/>
        <v>0</v>
      </c>
      <c r="M66" s="6">
        <v>42.35</v>
      </c>
      <c r="N66" s="6" t="b">
        <f t="shared" si="6"/>
        <v>0</v>
      </c>
      <c r="O66" s="6">
        <v>90</v>
      </c>
      <c r="P66" s="6" t="b">
        <f t="shared" si="7"/>
        <v>0</v>
      </c>
      <c r="Q66" s="6">
        <v>140</v>
      </c>
      <c r="R66" s="6" t="b">
        <f t="shared" si="8"/>
        <v>0</v>
      </c>
      <c r="S66" s="6">
        <v>68.900000000000006</v>
      </c>
      <c r="T66" s="6" t="b">
        <f t="shared" si="9"/>
        <v>1</v>
      </c>
      <c r="U66" s="6">
        <v>2.8999999999999998E-3</v>
      </c>
      <c r="V66" s="6" t="b">
        <f t="shared" si="10"/>
        <v>0</v>
      </c>
      <c r="W66" s="6">
        <v>95</v>
      </c>
      <c r="X66" s="6" t="b">
        <f t="shared" si="11"/>
        <v>0</v>
      </c>
      <c r="Y66" s="6">
        <v>366</v>
      </c>
      <c r="Z66" s="6" t="b">
        <f t="shared" si="12"/>
        <v>0</v>
      </c>
      <c r="AA66" s="6">
        <v>85.585999999999999</v>
      </c>
      <c r="AB66" s="6" t="b">
        <f t="shared" si="13"/>
        <v>0</v>
      </c>
      <c r="AC66" s="6">
        <v>57.953000000000003</v>
      </c>
      <c r="AD66" s="8" t="b">
        <f t="shared" si="14"/>
        <v>0</v>
      </c>
      <c r="AE66" s="8">
        <f t="shared" si="15"/>
        <v>27.632999999999996</v>
      </c>
      <c r="AF66" t="b">
        <f t="shared" si="16"/>
        <v>0</v>
      </c>
    </row>
    <row r="67" spans="1:32" x14ac:dyDescent="0.3">
      <c r="A67" s="6">
        <v>695</v>
      </c>
      <c r="B67" s="6" t="b">
        <f t="shared" si="0"/>
        <v>0</v>
      </c>
      <c r="C67" s="6">
        <v>6</v>
      </c>
      <c r="D67" s="6" t="b">
        <f t="shared" si="1"/>
        <v>0</v>
      </c>
      <c r="E67" s="6">
        <v>4</v>
      </c>
      <c r="F67" s="6" t="b">
        <f t="shared" si="2"/>
        <v>0</v>
      </c>
      <c r="G67" s="6">
        <v>440</v>
      </c>
      <c r="H67" s="6" t="b">
        <f t="shared" si="3"/>
        <v>0</v>
      </c>
      <c r="I67" s="6">
        <v>1.1100000000000001</v>
      </c>
      <c r="J67" s="6" t="b">
        <f t="shared" si="4"/>
        <v>0</v>
      </c>
      <c r="K67" s="6">
        <v>0.82199999999999995</v>
      </c>
      <c r="L67" s="6" t="b">
        <f t="shared" si="5"/>
        <v>0</v>
      </c>
      <c r="M67" s="6">
        <v>219</v>
      </c>
      <c r="N67" s="6" t="b">
        <f t="shared" si="6"/>
        <v>0</v>
      </c>
      <c r="O67" s="6">
        <v>49.3</v>
      </c>
      <c r="P67" s="6" t="b">
        <f t="shared" si="7"/>
        <v>0</v>
      </c>
      <c r="Q67" s="6">
        <v>157</v>
      </c>
      <c r="R67" s="6" t="b">
        <f t="shared" si="8"/>
        <v>0</v>
      </c>
      <c r="S67" s="6">
        <v>37</v>
      </c>
      <c r="T67" s="6" t="b">
        <f t="shared" si="9"/>
        <v>0</v>
      </c>
      <c r="U67" s="6">
        <v>4.4424946828891757E-3</v>
      </c>
      <c r="V67" s="6" t="b">
        <f t="shared" si="10"/>
        <v>0</v>
      </c>
      <c r="W67" s="6">
        <v>50</v>
      </c>
      <c r="X67" s="6" t="b">
        <f t="shared" si="11"/>
        <v>0</v>
      </c>
      <c r="Y67" s="6">
        <v>390</v>
      </c>
      <c r="Z67" s="6" t="b">
        <f t="shared" si="12"/>
        <v>0</v>
      </c>
      <c r="AA67" s="6">
        <v>68.709000000000003</v>
      </c>
      <c r="AB67" s="6" t="b">
        <f t="shared" si="13"/>
        <v>0</v>
      </c>
      <c r="AC67" s="6">
        <v>27.946000000000002</v>
      </c>
      <c r="AD67" s="8" t="b">
        <f t="shared" si="14"/>
        <v>0</v>
      </c>
      <c r="AE67" s="8">
        <f t="shared" si="15"/>
        <v>40.763000000000005</v>
      </c>
      <c r="AF67" t="b">
        <f t="shared" si="16"/>
        <v>0</v>
      </c>
    </row>
    <row r="68" spans="1:32" x14ac:dyDescent="0.3">
      <c r="A68" s="6">
        <v>735</v>
      </c>
      <c r="B68" s="6" t="b">
        <f t="shared" ref="B68:B131" si="17">OR(A68&lt;$A$197,A68&gt;$A$196)</f>
        <v>0</v>
      </c>
      <c r="C68" s="6">
        <v>6</v>
      </c>
      <c r="D68" s="6" t="b">
        <f t="shared" ref="D68:D131" si="18">OR(C68&lt;$C$197,C68&gt;$C$196)</f>
        <v>0</v>
      </c>
      <c r="E68" s="6">
        <v>3.8</v>
      </c>
      <c r="F68" s="6" t="b">
        <f t="shared" ref="F68:F131" si="19">OR(E68&lt;$E$197,E68&gt;$E$196)</f>
        <v>0</v>
      </c>
      <c r="G68" s="6">
        <v>420</v>
      </c>
      <c r="H68" s="6" t="b">
        <f t="shared" ref="H68:H131" si="20">OR(G68&lt;$G$197,G68&gt;$G$196)</f>
        <v>0</v>
      </c>
      <c r="I68" s="6">
        <v>1</v>
      </c>
      <c r="J68" s="6" t="b">
        <f t="shared" ref="J68:J131" si="21">OR(I68&lt;$I$197,I68&gt;$I$196)</f>
        <v>0</v>
      </c>
      <c r="K68" s="6">
        <v>0.82199999999999995</v>
      </c>
      <c r="L68" s="6" t="b">
        <f t="shared" ref="L68:L131" si="22">OR(K68&lt;$K$197,K68&gt;$K$196)</f>
        <v>0</v>
      </c>
      <c r="M68" s="6">
        <v>218.8</v>
      </c>
      <c r="N68" s="6" t="b">
        <f t="shared" ref="N68:N131" si="23">OR(M68&lt;$M$197,M68&gt;$M$196)</f>
        <v>0</v>
      </c>
      <c r="O68" s="6">
        <v>90.3</v>
      </c>
      <c r="P68" s="6" t="b">
        <f t="shared" ref="P68:P131" si="24">OR(O68&lt;$O$197,O68&gt;$O$196)</f>
        <v>0</v>
      </c>
      <c r="Q68" s="6">
        <v>148</v>
      </c>
      <c r="R68" s="6" t="b">
        <f t="shared" ref="R68:R131" si="25">OR(Q68&lt;$Q$197,Q68&gt;$Q$196)</f>
        <v>0</v>
      </c>
      <c r="S68" s="6">
        <v>52</v>
      </c>
      <c r="T68" s="6" t="b">
        <f t="shared" ref="T68:T131" si="26">OR(S68&lt;$S$197,S68&gt;$S$196)</f>
        <v>0</v>
      </c>
      <c r="U68" s="6">
        <v>3.7723828046408695E-3</v>
      </c>
      <c r="V68" s="6" t="b">
        <f t="shared" ref="V68:V131" si="27">OR(U68&lt;$U$197,U68&gt;$U$196)</f>
        <v>0</v>
      </c>
      <c r="W68" s="6">
        <v>95</v>
      </c>
      <c r="X68" s="6" t="b">
        <f t="shared" ref="X68:X131" si="28">OR(W68&lt;$W$197,W68&gt;$W$196)</f>
        <v>0</v>
      </c>
      <c r="Y68" s="6">
        <v>325</v>
      </c>
      <c r="Z68" s="6" t="b">
        <f t="shared" ref="Z68:Z131" si="29">OR(Y68&lt;$Y$197,Y68&gt;$Y$196)</f>
        <v>0</v>
      </c>
      <c r="AA68" s="6">
        <v>82.754999999999995</v>
      </c>
      <c r="AB68" s="6" t="b">
        <f t="shared" ref="AB68:AB131" si="30">OR(AA68&lt;$AA$197,AA68&gt;$AA$196)</f>
        <v>0</v>
      </c>
      <c r="AC68" s="6">
        <v>25.228000000000002</v>
      </c>
      <c r="AD68" s="8" t="b">
        <f t="shared" ref="AD68:AD131" si="31">OR(AC68&lt;$AC$197,AC68&gt;$AC$196)</f>
        <v>0</v>
      </c>
      <c r="AE68" s="8">
        <f t="shared" ref="AE68:AE131" si="32">AA68-AC68</f>
        <v>57.526999999999994</v>
      </c>
      <c r="AF68" t="b">
        <f t="shared" ref="AF68:AF131" si="33">OR(AE68&lt;$AE$197,AE68&gt;$AE$196)</f>
        <v>0</v>
      </c>
    </row>
    <row r="69" spans="1:32" x14ac:dyDescent="0.3">
      <c r="A69" s="6">
        <v>680</v>
      </c>
      <c r="B69" s="6" t="b">
        <f t="shared" si="17"/>
        <v>0</v>
      </c>
      <c r="C69" s="6">
        <v>6</v>
      </c>
      <c r="D69" s="6" t="b">
        <f t="shared" si="18"/>
        <v>0</v>
      </c>
      <c r="E69" s="6">
        <v>3.5</v>
      </c>
      <c r="F69" s="6" t="b">
        <f t="shared" si="19"/>
        <v>0</v>
      </c>
      <c r="G69" s="6">
        <v>461</v>
      </c>
      <c r="H69" s="6" t="b">
        <f t="shared" si="20"/>
        <v>0</v>
      </c>
      <c r="I69" s="6">
        <v>0.34</v>
      </c>
      <c r="J69" s="6" t="b">
        <f t="shared" si="21"/>
        <v>0</v>
      </c>
      <c r="K69" s="6">
        <v>0.82199999999999995</v>
      </c>
      <c r="L69" s="6" t="b">
        <f t="shared" si="22"/>
        <v>0</v>
      </c>
      <c r="M69" s="6">
        <v>49.11</v>
      </c>
      <c r="N69" s="6" t="b">
        <f t="shared" si="23"/>
        <v>0</v>
      </c>
      <c r="O69" s="6">
        <v>90</v>
      </c>
      <c r="P69" s="6" t="b">
        <f t="shared" si="24"/>
        <v>0</v>
      </c>
      <c r="Q69" s="6">
        <v>69.875</v>
      </c>
      <c r="R69" s="6" t="b">
        <f t="shared" si="25"/>
        <v>0</v>
      </c>
      <c r="S69" s="6">
        <v>32.125999999999998</v>
      </c>
      <c r="T69" s="6" t="b">
        <f t="shared" si="26"/>
        <v>0</v>
      </c>
      <c r="U69" s="6">
        <v>2.5156000000000002E-3</v>
      </c>
      <c r="V69" s="6" t="b">
        <f t="shared" si="27"/>
        <v>0</v>
      </c>
      <c r="W69" s="6">
        <v>95</v>
      </c>
      <c r="X69" s="6" t="b">
        <f t="shared" si="28"/>
        <v>0</v>
      </c>
      <c r="Y69" s="6">
        <v>366</v>
      </c>
      <c r="Z69" s="6" t="b">
        <f t="shared" si="29"/>
        <v>0</v>
      </c>
      <c r="AA69" s="6">
        <v>64.591999999999999</v>
      </c>
      <c r="AB69" s="6" t="b">
        <f t="shared" si="30"/>
        <v>0</v>
      </c>
      <c r="AC69" s="6">
        <v>24.983000000000001</v>
      </c>
      <c r="AD69" s="8" t="b">
        <f t="shared" si="31"/>
        <v>0</v>
      </c>
      <c r="AE69" s="8">
        <f t="shared" si="32"/>
        <v>39.608999999999995</v>
      </c>
      <c r="AF69" t="b">
        <f t="shared" si="33"/>
        <v>0</v>
      </c>
    </row>
    <row r="70" spans="1:32" x14ac:dyDescent="0.3">
      <c r="A70" s="6">
        <v>714</v>
      </c>
      <c r="B70" s="6" t="b">
        <f t="shared" si="17"/>
        <v>0</v>
      </c>
      <c r="C70" s="6">
        <v>6</v>
      </c>
      <c r="D70" s="6" t="b">
        <f t="shared" si="18"/>
        <v>0</v>
      </c>
      <c r="E70" s="6">
        <v>3.5</v>
      </c>
      <c r="F70" s="6" t="b">
        <f t="shared" si="19"/>
        <v>0</v>
      </c>
      <c r="G70" s="6">
        <v>461</v>
      </c>
      <c r="H70" s="6" t="b">
        <f t="shared" si="20"/>
        <v>0</v>
      </c>
      <c r="I70" s="6">
        <v>0.34</v>
      </c>
      <c r="J70" s="6" t="b">
        <f t="shared" si="21"/>
        <v>0</v>
      </c>
      <c r="K70" s="6">
        <v>0.82199999999999995</v>
      </c>
      <c r="L70" s="6" t="b">
        <f t="shared" si="22"/>
        <v>0</v>
      </c>
      <c r="M70" s="6">
        <v>49.11</v>
      </c>
      <c r="N70" s="6" t="b">
        <f t="shared" si="23"/>
        <v>0</v>
      </c>
      <c r="O70" s="6">
        <v>90</v>
      </c>
      <c r="P70" s="6" t="b">
        <f t="shared" si="24"/>
        <v>0</v>
      </c>
      <c r="Q70" s="6">
        <v>171.66</v>
      </c>
      <c r="R70" s="6" t="b">
        <f t="shared" si="25"/>
        <v>0</v>
      </c>
      <c r="S70" s="6">
        <v>43.283999999999999</v>
      </c>
      <c r="T70" s="6" t="b">
        <f t="shared" si="26"/>
        <v>0</v>
      </c>
      <c r="U70" s="6">
        <v>3.6604999999999997E-3</v>
      </c>
      <c r="V70" s="6" t="b">
        <f t="shared" si="27"/>
        <v>0</v>
      </c>
      <c r="W70" s="6">
        <v>95</v>
      </c>
      <c r="X70" s="6" t="b">
        <f t="shared" si="28"/>
        <v>0</v>
      </c>
      <c r="Y70" s="6">
        <v>366</v>
      </c>
      <c r="Z70" s="6" t="b">
        <f t="shared" si="29"/>
        <v>0</v>
      </c>
      <c r="AA70" s="6">
        <v>61.378</v>
      </c>
      <c r="AB70" s="6" t="b">
        <f t="shared" si="30"/>
        <v>0</v>
      </c>
      <c r="AC70" s="6">
        <v>24.321999999999999</v>
      </c>
      <c r="AD70" s="8" t="b">
        <f t="shared" si="31"/>
        <v>0</v>
      </c>
      <c r="AE70" s="8">
        <f t="shared" si="32"/>
        <v>37.055999999999997</v>
      </c>
      <c r="AF70" t="b">
        <f t="shared" si="33"/>
        <v>0</v>
      </c>
    </row>
    <row r="71" spans="1:32" x14ac:dyDescent="0.3">
      <c r="A71" s="6">
        <v>697</v>
      </c>
      <c r="B71" s="6" t="b">
        <f t="shared" si="17"/>
        <v>0</v>
      </c>
      <c r="C71" s="6">
        <v>6</v>
      </c>
      <c r="D71" s="6" t="b">
        <f t="shared" si="18"/>
        <v>0</v>
      </c>
      <c r="E71" s="6">
        <v>3</v>
      </c>
      <c r="F71" s="6" t="b">
        <f t="shared" si="19"/>
        <v>0</v>
      </c>
      <c r="G71" s="6">
        <v>400</v>
      </c>
      <c r="H71" s="6" t="b">
        <f t="shared" si="20"/>
        <v>0</v>
      </c>
      <c r="I71" s="6">
        <v>0.6</v>
      </c>
      <c r="J71" s="6" t="b">
        <f t="shared" si="21"/>
        <v>0</v>
      </c>
      <c r="K71" s="6">
        <v>0.81399999999999995</v>
      </c>
      <c r="L71" s="6" t="b">
        <f t="shared" si="22"/>
        <v>0</v>
      </c>
      <c r="M71" s="6">
        <v>48.4</v>
      </c>
      <c r="N71" s="6" t="b">
        <f t="shared" si="23"/>
        <v>0</v>
      </c>
      <c r="O71" s="6">
        <v>63.8</v>
      </c>
      <c r="P71" s="6" t="b">
        <f t="shared" si="24"/>
        <v>0</v>
      </c>
      <c r="Q71" s="6">
        <v>142</v>
      </c>
      <c r="R71" s="6" t="b">
        <f t="shared" si="25"/>
        <v>0</v>
      </c>
      <c r="S71" s="6">
        <v>40</v>
      </c>
      <c r="T71" s="6" t="b">
        <f t="shared" si="26"/>
        <v>0</v>
      </c>
      <c r="U71" s="6">
        <v>3.5779191276692412E-3</v>
      </c>
      <c r="V71" s="6" t="b">
        <f t="shared" si="27"/>
        <v>0</v>
      </c>
      <c r="W71" s="6">
        <v>95</v>
      </c>
      <c r="X71" s="6" t="b">
        <f t="shared" si="28"/>
        <v>0</v>
      </c>
      <c r="Y71" s="6">
        <v>305</v>
      </c>
      <c r="Z71" s="6" t="b">
        <f t="shared" si="29"/>
        <v>0</v>
      </c>
      <c r="AA71" s="6">
        <v>73.492000000000004</v>
      </c>
      <c r="AB71" s="6" t="b">
        <f t="shared" si="30"/>
        <v>0</v>
      </c>
      <c r="AC71" s="6">
        <v>31.050999999999998</v>
      </c>
      <c r="AD71" s="8" t="b">
        <f t="shared" si="31"/>
        <v>0</v>
      </c>
      <c r="AE71" s="8">
        <f t="shared" si="32"/>
        <v>42.441000000000003</v>
      </c>
      <c r="AF71" t="b">
        <f t="shared" si="33"/>
        <v>0</v>
      </c>
    </row>
    <row r="72" spans="1:32" x14ac:dyDescent="0.3">
      <c r="A72" s="6">
        <v>700</v>
      </c>
      <c r="B72" s="6" t="b">
        <f t="shared" si="17"/>
        <v>0</v>
      </c>
      <c r="C72" s="6">
        <v>6</v>
      </c>
      <c r="D72" s="6" t="b">
        <f t="shared" si="18"/>
        <v>0</v>
      </c>
      <c r="E72" s="6">
        <v>17</v>
      </c>
      <c r="F72" s="6" t="b">
        <f t="shared" si="19"/>
        <v>1</v>
      </c>
      <c r="G72" s="6">
        <v>461</v>
      </c>
      <c r="H72" s="6" t="b">
        <f t="shared" si="20"/>
        <v>0</v>
      </c>
      <c r="I72" s="6">
        <v>0.34</v>
      </c>
      <c r="J72" s="6" t="b">
        <f t="shared" si="21"/>
        <v>0</v>
      </c>
      <c r="K72" s="6">
        <v>0.26</v>
      </c>
      <c r="L72" s="6" t="b">
        <f t="shared" si="22"/>
        <v>0</v>
      </c>
      <c r="M72" s="6">
        <v>49.11</v>
      </c>
      <c r="N72" s="6" t="b">
        <f t="shared" si="23"/>
        <v>0</v>
      </c>
      <c r="O72" s="6">
        <v>92</v>
      </c>
      <c r="P72" s="6" t="b">
        <f t="shared" si="24"/>
        <v>0</v>
      </c>
      <c r="Q72" s="6">
        <v>139.19999999999999</v>
      </c>
      <c r="R72" s="6" t="b">
        <f t="shared" si="25"/>
        <v>0</v>
      </c>
      <c r="S72" s="6">
        <v>69</v>
      </c>
      <c r="T72" s="6" t="b">
        <f t="shared" si="26"/>
        <v>1</v>
      </c>
      <c r="U72" s="6">
        <v>3.0000000000000001E-3</v>
      </c>
      <c r="V72" s="6" t="b">
        <f t="shared" si="27"/>
        <v>0</v>
      </c>
      <c r="W72" s="6">
        <v>95</v>
      </c>
      <c r="X72" s="6" t="b">
        <f t="shared" si="28"/>
        <v>0</v>
      </c>
      <c r="Y72" s="6">
        <v>366</v>
      </c>
      <c r="Z72" s="6" t="b">
        <f t="shared" si="29"/>
        <v>0</v>
      </c>
      <c r="AA72" s="6">
        <v>63.250999999999998</v>
      </c>
      <c r="AB72" s="6" t="b">
        <f t="shared" si="30"/>
        <v>0</v>
      </c>
      <c r="AC72" s="6">
        <v>41.552999999999997</v>
      </c>
      <c r="AD72" s="8" t="b">
        <f t="shared" si="31"/>
        <v>0</v>
      </c>
      <c r="AE72" s="8">
        <f t="shared" si="32"/>
        <v>21.698</v>
      </c>
      <c r="AF72" t="b">
        <f t="shared" si="33"/>
        <v>0</v>
      </c>
    </row>
    <row r="73" spans="1:32" x14ac:dyDescent="0.3">
      <c r="A73" s="6">
        <v>746</v>
      </c>
      <c r="B73" s="6" t="b">
        <f t="shared" si="17"/>
        <v>0</v>
      </c>
      <c r="C73" s="6">
        <v>5</v>
      </c>
      <c r="D73" s="6" t="b">
        <f t="shared" si="18"/>
        <v>0</v>
      </c>
      <c r="E73" s="6">
        <v>3.4</v>
      </c>
      <c r="F73" s="6" t="b">
        <f t="shared" si="19"/>
        <v>0</v>
      </c>
      <c r="G73" s="6">
        <v>316</v>
      </c>
      <c r="H73" s="6" t="b">
        <f t="shared" si="20"/>
        <v>0</v>
      </c>
      <c r="I73" s="6">
        <v>0.34</v>
      </c>
      <c r="J73" s="6" t="b">
        <f t="shared" si="21"/>
        <v>0</v>
      </c>
      <c r="K73" s="6">
        <v>0.82199999999999995</v>
      </c>
      <c r="L73" s="6" t="b">
        <f t="shared" si="22"/>
        <v>0</v>
      </c>
      <c r="M73" s="6">
        <v>217.96</v>
      </c>
      <c r="N73" s="6" t="b">
        <f t="shared" si="23"/>
        <v>0</v>
      </c>
      <c r="O73" s="6">
        <v>26</v>
      </c>
      <c r="P73" s="6" t="b">
        <f t="shared" si="24"/>
        <v>0</v>
      </c>
      <c r="Q73" s="6">
        <v>70.658000000000001</v>
      </c>
      <c r="R73" s="6" t="b">
        <f t="shared" si="25"/>
        <v>0</v>
      </c>
      <c r="S73" s="6">
        <v>49.715000000000003</v>
      </c>
      <c r="T73" s="6" t="b">
        <f t="shared" si="26"/>
        <v>0</v>
      </c>
      <c r="U73" s="6">
        <v>2.0236999999999998E-3</v>
      </c>
      <c r="V73" s="6" t="b">
        <f t="shared" si="27"/>
        <v>0</v>
      </c>
      <c r="W73" s="6">
        <v>95</v>
      </c>
      <c r="X73" s="6" t="b">
        <f t="shared" si="28"/>
        <v>0</v>
      </c>
      <c r="Y73" s="6">
        <v>221</v>
      </c>
      <c r="Z73" s="6" t="b">
        <f t="shared" si="29"/>
        <v>0</v>
      </c>
      <c r="AA73" s="6">
        <v>60.378</v>
      </c>
      <c r="AB73" s="6" t="b">
        <f t="shared" si="30"/>
        <v>0</v>
      </c>
      <c r="AC73" s="6">
        <v>32.671999999999997</v>
      </c>
      <c r="AD73" s="8" t="b">
        <f t="shared" si="31"/>
        <v>0</v>
      </c>
      <c r="AE73" s="8">
        <f t="shared" si="32"/>
        <v>27.706000000000003</v>
      </c>
      <c r="AF73" t="b">
        <f t="shared" si="33"/>
        <v>0</v>
      </c>
    </row>
    <row r="74" spans="1:32" x14ac:dyDescent="0.3">
      <c r="A74" s="6">
        <v>715</v>
      </c>
      <c r="B74" s="6" t="b">
        <f t="shared" si="17"/>
        <v>0</v>
      </c>
      <c r="C74" s="6">
        <v>6</v>
      </c>
      <c r="D74" s="6" t="b">
        <f t="shared" si="18"/>
        <v>0</v>
      </c>
      <c r="E74" s="6">
        <v>3.5</v>
      </c>
      <c r="F74" s="6" t="b">
        <f t="shared" si="19"/>
        <v>0</v>
      </c>
      <c r="G74" s="6">
        <v>430</v>
      </c>
      <c r="H74" s="6" t="b">
        <f t="shared" si="20"/>
        <v>0</v>
      </c>
      <c r="I74" s="6">
        <v>0.34</v>
      </c>
      <c r="J74" s="6" t="b">
        <f t="shared" si="21"/>
        <v>0</v>
      </c>
      <c r="K74" s="6">
        <v>0.82199999999999995</v>
      </c>
      <c r="L74" s="6" t="b">
        <f t="shared" si="22"/>
        <v>0</v>
      </c>
      <c r="M74" s="6">
        <v>49.11</v>
      </c>
      <c r="N74" s="6" t="b">
        <f t="shared" si="23"/>
        <v>0</v>
      </c>
      <c r="O74" s="6">
        <v>80</v>
      </c>
      <c r="P74" s="6" t="b">
        <f t="shared" si="24"/>
        <v>0</v>
      </c>
      <c r="Q74" s="6">
        <v>138.13</v>
      </c>
      <c r="R74" s="6" t="b">
        <f t="shared" si="25"/>
        <v>0</v>
      </c>
      <c r="S74" s="6">
        <v>67.876000000000005</v>
      </c>
      <c r="T74" s="6" t="b">
        <f t="shared" si="26"/>
        <v>1</v>
      </c>
      <c r="U74" s="6">
        <v>2.8896999999999998E-3</v>
      </c>
      <c r="V74" s="6" t="b">
        <f t="shared" si="27"/>
        <v>0</v>
      </c>
      <c r="W74" s="6">
        <v>95</v>
      </c>
      <c r="X74" s="6" t="b">
        <f t="shared" si="28"/>
        <v>0</v>
      </c>
      <c r="Y74" s="6">
        <v>335</v>
      </c>
      <c r="Z74" s="6" t="b">
        <f t="shared" si="29"/>
        <v>0</v>
      </c>
      <c r="AA74" s="6">
        <v>70.852999999999994</v>
      </c>
      <c r="AB74" s="6" t="b">
        <f t="shared" si="30"/>
        <v>0</v>
      </c>
      <c r="AC74" s="6">
        <v>34.404000000000003</v>
      </c>
      <c r="AD74" s="8" t="b">
        <f t="shared" si="31"/>
        <v>0</v>
      </c>
      <c r="AE74" s="8">
        <f t="shared" si="32"/>
        <v>36.448999999999991</v>
      </c>
      <c r="AF74" t="b">
        <f t="shared" si="33"/>
        <v>0</v>
      </c>
    </row>
    <row r="75" spans="1:32" x14ac:dyDescent="0.3">
      <c r="A75" s="6">
        <v>330</v>
      </c>
      <c r="B75" s="6" t="b">
        <f t="shared" si="17"/>
        <v>0</v>
      </c>
      <c r="C75" s="6">
        <v>3</v>
      </c>
      <c r="D75" s="6" t="b">
        <f t="shared" si="18"/>
        <v>0</v>
      </c>
      <c r="E75" s="6">
        <v>4</v>
      </c>
      <c r="F75" s="6" t="b">
        <f t="shared" si="19"/>
        <v>0</v>
      </c>
      <c r="G75" s="6">
        <v>153</v>
      </c>
      <c r="H75" s="6" t="b">
        <f t="shared" si="20"/>
        <v>0</v>
      </c>
      <c r="I75" s="6">
        <v>3.2</v>
      </c>
      <c r="J75" s="6" t="b">
        <f t="shared" si="21"/>
        <v>0</v>
      </c>
      <c r="K75" s="6">
        <v>2.94</v>
      </c>
      <c r="L75" s="6" t="b">
        <f t="shared" si="22"/>
        <v>0</v>
      </c>
      <c r="M75" s="6">
        <v>352</v>
      </c>
      <c r="N75" s="6" t="b">
        <f t="shared" si="23"/>
        <v>0</v>
      </c>
      <c r="O75" s="6">
        <v>7</v>
      </c>
      <c r="P75" s="6" t="b">
        <f t="shared" si="24"/>
        <v>0</v>
      </c>
      <c r="Q75" s="6">
        <v>113</v>
      </c>
      <c r="R75" s="6" t="b">
        <f t="shared" si="25"/>
        <v>0</v>
      </c>
      <c r="S75" s="6">
        <v>12</v>
      </c>
      <c r="T75" s="6" t="b">
        <f t="shared" si="26"/>
        <v>0</v>
      </c>
      <c r="U75" s="6">
        <v>2E-3</v>
      </c>
      <c r="V75" s="6" t="b">
        <f t="shared" si="27"/>
        <v>0</v>
      </c>
      <c r="W75" s="6">
        <v>103</v>
      </c>
      <c r="X75" s="6" t="b">
        <f t="shared" si="28"/>
        <v>0</v>
      </c>
      <c r="Y75" s="6">
        <v>50</v>
      </c>
      <c r="Z75" s="6" t="b">
        <f t="shared" si="29"/>
        <v>0</v>
      </c>
      <c r="AA75" s="6">
        <v>53.55</v>
      </c>
      <c r="AB75" s="6" t="b">
        <f t="shared" si="30"/>
        <v>0</v>
      </c>
      <c r="AC75" s="6">
        <v>21.864000000000001</v>
      </c>
      <c r="AD75" s="8" t="b">
        <f t="shared" si="31"/>
        <v>0</v>
      </c>
      <c r="AE75" s="8">
        <f t="shared" si="32"/>
        <v>31.685999999999996</v>
      </c>
      <c r="AF75" t="b">
        <f t="shared" si="33"/>
        <v>0</v>
      </c>
    </row>
    <row r="76" spans="1:32" x14ac:dyDescent="0.3">
      <c r="A76" s="6">
        <v>230</v>
      </c>
      <c r="B76" s="6" t="b">
        <f t="shared" si="17"/>
        <v>0</v>
      </c>
      <c r="C76" s="6">
        <v>3</v>
      </c>
      <c r="D76" s="6" t="b">
        <f t="shared" si="18"/>
        <v>0</v>
      </c>
      <c r="E76" s="6">
        <v>6</v>
      </c>
      <c r="F76" s="6" t="b">
        <f t="shared" si="19"/>
        <v>0</v>
      </c>
      <c r="G76" s="6">
        <v>157</v>
      </c>
      <c r="H76" s="6" t="b">
        <f t="shared" si="20"/>
        <v>0</v>
      </c>
      <c r="I76" s="6">
        <v>4</v>
      </c>
      <c r="J76" s="6" t="b">
        <f t="shared" si="21"/>
        <v>0</v>
      </c>
      <c r="K76" s="6">
        <v>2.94</v>
      </c>
      <c r="L76" s="6" t="b">
        <f t="shared" si="22"/>
        <v>0</v>
      </c>
      <c r="M76" s="6">
        <v>155</v>
      </c>
      <c r="N76" s="6" t="b">
        <f t="shared" si="23"/>
        <v>0</v>
      </c>
      <c r="O76" s="6">
        <v>10</v>
      </c>
      <c r="P76" s="6" t="b">
        <f t="shared" si="24"/>
        <v>0</v>
      </c>
      <c r="Q76" s="6">
        <v>71</v>
      </c>
      <c r="R76" s="6" t="b">
        <f t="shared" si="25"/>
        <v>0</v>
      </c>
      <c r="S76" s="6">
        <v>12</v>
      </c>
      <c r="T76" s="6" t="b">
        <f t="shared" si="26"/>
        <v>0</v>
      </c>
      <c r="U76" s="6">
        <v>3.5000000000000001E-3</v>
      </c>
      <c r="V76" s="6" t="b">
        <f t="shared" si="27"/>
        <v>0</v>
      </c>
      <c r="W76" s="6">
        <v>57</v>
      </c>
      <c r="X76" s="6" t="b">
        <f t="shared" si="28"/>
        <v>0</v>
      </c>
      <c r="Y76" s="6">
        <v>100</v>
      </c>
      <c r="Z76" s="6" t="b">
        <f t="shared" si="29"/>
        <v>0</v>
      </c>
      <c r="AA76" s="6">
        <v>15.802</v>
      </c>
      <c r="AB76" s="6" t="b">
        <f t="shared" si="30"/>
        <v>0</v>
      </c>
      <c r="AC76" s="6">
        <v>12.843</v>
      </c>
      <c r="AD76" s="8" t="b">
        <f t="shared" si="31"/>
        <v>0</v>
      </c>
      <c r="AE76" s="8">
        <f t="shared" si="32"/>
        <v>2.9589999999999996</v>
      </c>
      <c r="AF76" t="b">
        <f t="shared" si="33"/>
        <v>0</v>
      </c>
    </row>
    <row r="77" spans="1:32" x14ac:dyDescent="0.3">
      <c r="A77" s="6">
        <v>523</v>
      </c>
      <c r="B77" s="6" t="b">
        <f t="shared" si="17"/>
        <v>0</v>
      </c>
      <c r="C77" s="6">
        <v>9</v>
      </c>
      <c r="D77" s="6" t="b">
        <f t="shared" si="18"/>
        <v>1</v>
      </c>
      <c r="E77" s="6">
        <v>7</v>
      </c>
      <c r="F77" s="6" t="b">
        <f t="shared" si="19"/>
        <v>0</v>
      </c>
      <c r="G77" s="6">
        <v>160</v>
      </c>
      <c r="H77" s="6" t="b">
        <f t="shared" si="20"/>
        <v>0</v>
      </c>
      <c r="I77" s="6">
        <v>1.1000000000000001</v>
      </c>
      <c r="J77" s="6" t="b">
        <f t="shared" si="21"/>
        <v>0</v>
      </c>
      <c r="K77" s="6">
        <v>2.94</v>
      </c>
      <c r="L77" s="6" t="b">
        <f t="shared" si="22"/>
        <v>0</v>
      </c>
      <c r="M77" s="6">
        <v>137</v>
      </c>
      <c r="N77" s="6" t="b">
        <f t="shared" si="23"/>
        <v>0</v>
      </c>
      <c r="O77" s="6">
        <v>10</v>
      </c>
      <c r="P77" s="6" t="b">
        <f t="shared" si="24"/>
        <v>0</v>
      </c>
      <c r="Q77" s="6">
        <v>70</v>
      </c>
      <c r="R77" s="6" t="b">
        <f t="shared" si="25"/>
        <v>0</v>
      </c>
      <c r="S77" s="6">
        <v>15</v>
      </c>
      <c r="T77" s="6" t="b">
        <f t="shared" si="26"/>
        <v>0</v>
      </c>
      <c r="U77" s="6">
        <v>2.7000000000000001E-3</v>
      </c>
      <c r="V77" s="6" t="b">
        <f t="shared" si="27"/>
        <v>0</v>
      </c>
      <c r="W77" s="6">
        <v>105</v>
      </c>
      <c r="X77" s="6" t="b">
        <f t="shared" si="28"/>
        <v>0</v>
      </c>
      <c r="Y77" s="6">
        <v>55</v>
      </c>
      <c r="Z77" s="6" t="b">
        <f t="shared" si="29"/>
        <v>0</v>
      </c>
      <c r="AA77" s="6">
        <v>137.322</v>
      </c>
      <c r="AB77" s="6" t="b">
        <f t="shared" si="30"/>
        <v>0</v>
      </c>
      <c r="AC77" s="6">
        <v>32.054000000000002</v>
      </c>
      <c r="AD77" s="8" t="b">
        <f t="shared" si="31"/>
        <v>0</v>
      </c>
      <c r="AE77" s="8">
        <f t="shared" si="32"/>
        <v>105.268</v>
      </c>
      <c r="AF77" t="b">
        <f t="shared" si="33"/>
        <v>0</v>
      </c>
    </row>
    <row r="78" spans="1:32" x14ac:dyDescent="0.3">
      <c r="A78" s="6">
        <v>310</v>
      </c>
      <c r="B78" s="6" t="b">
        <f t="shared" si="17"/>
        <v>0</v>
      </c>
      <c r="C78" s="6">
        <v>3</v>
      </c>
      <c r="D78" s="6" t="b">
        <f t="shared" si="18"/>
        <v>0</v>
      </c>
      <c r="E78" s="6">
        <v>3</v>
      </c>
      <c r="F78" s="6" t="b">
        <f t="shared" si="19"/>
        <v>0</v>
      </c>
      <c r="G78" s="6">
        <v>157</v>
      </c>
      <c r="H78" s="6" t="b">
        <f t="shared" si="20"/>
        <v>0</v>
      </c>
      <c r="I78" s="6">
        <v>4.5</v>
      </c>
      <c r="J78" s="6" t="b">
        <f t="shared" si="21"/>
        <v>0</v>
      </c>
      <c r="K78" s="6">
        <v>2.94</v>
      </c>
      <c r="L78" s="6" t="b">
        <f t="shared" si="22"/>
        <v>0</v>
      </c>
      <c r="M78" s="6">
        <v>293</v>
      </c>
      <c r="N78" s="6" t="b">
        <f t="shared" si="23"/>
        <v>0</v>
      </c>
      <c r="O78" s="6">
        <v>21</v>
      </c>
      <c r="P78" s="6" t="b">
        <f t="shared" si="24"/>
        <v>0</v>
      </c>
      <c r="Q78" s="6">
        <v>106</v>
      </c>
      <c r="R78" s="6" t="b">
        <f t="shared" si="25"/>
        <v>0</v>
      </c>
      <c r="S78" s="6">
        <v>21</v>
      </c>
      <c r="T78" s="6" t="b">
        <f t="shared" si="26"/>
        <v>0</v>
      </c>
      <c r="U78" s="6">
        <v>3.0000000000000001E-3</v>
      </c>
      <c r="V78" s="6" t="b">
        <f t="shared" si="27"/>
        <v>0</v>
      </c>
      <c r="W78" s="6">
        <v>74</v>
      </c>
      <c r="X78" s="6" t="b">
        <f t="shared" si="28"/>
        <v>0</v>
      </c>
      <c r="Y78" s="6">
        <v>83</v>
      </c>
      <c r="Z78" s="6" t="b">
        <f t="shared" si="29"/>
        <v>0</v>
      </c>
      <c r="AA78" s="6">
        <v>74.263999999999996</v>
      </c>
      <c r="AB78" s="6" t="b">
        <f t="shared" si="30"/>
        <v>0</v>
      </c>
      <c r="AC78" s="6">
        <v>9.9710000000000001</v>
      </c>
      <c r="AD78" s="8" t="b">
        <f t="shared" si="31"/>
        <v>0</v>
      </c>
      <c r="AE78" s="8">
        <f t="shared" si="32"/>
        <v>64.292999999999992</v>
      </c>
      <c r="AF78" t="b">
        <f t="shared" si="33"/>
        <v>0</v>
      </c>
    </row>
    <row r="79" spans="1:32" x14ac:dyDescent="0.3">
      <c r="A79" s="6">
        <v>350</v>
      </c>
      <c r="B79" s="6" t="b">
        <f t="shared" si="17"/>
        <v>0</v>
      </c>
      <c r="C79" s="6">
        <v>3</v>
      </c>
      <c r="D79" s="6" t="b">
        <f t="shared" si="18"/>
        <v>0</v>
      </c>
      <c r="E79" s="6">
        <v>4</v>
      </c>
      <c r="F79" s="6" t="b">
        <f t="shared" si="19"/>
        <v>0</v>
      </c>
      <c r="G79" s="6">
        <v>151</v>
      </c>
      <c r="H79" s="6" t="b">
        <f t="shared" si="20"/>
        <v>0</v>
      </c>
      <c r="I79" s="6">
        <v>3</v>
      </c>
      <c r="J79" s="6" t="b">
        <f t="shared" si="21"/>
        <v>0</v>
      </c>
      <c r="K79" s="6">
        <v>2.94</v>
      </c>
      <c r="L79" s="6" t="b">
        <f t="shared" si="22"/>
        <v>0</v>
      </c>
      <c r="M79" s="6">
        <v>78</v>
      </c>
      <c r="N79" s="6" t="b">
        <f t="shared" si="23"/>
        <v>0</v>
      </c>
      <c r="O79" s="6">
        <v>5</v>
      </c>
      <c r="P79" s="6" t="b">
        <f t="shared" si="24"/>
        <v>0</v>
      </c>
      <c r="Q79" s="6">
        <v>56</v>
      </c>
      <c r="R79" s="6" t="b">
        <f t="shared" si="25"/>
        <v>0</v>
      </c>
      <c r="S79" s="6">
        <v>12</v>
      </c>
      <c r="T79" s="6" t="b">
        <f t="shared" si="26"/>
        <v>0</v>
      </c>
      <c r="U79" s="6">
        <v>1.9E-3</v>
      </c>
      <c r="V79" s="6" t="b">
        <f t="shared" si="27"/>
        <v>0</v>
      </c>
      <c r="W79" s="6">
        <v>80</v>
      </c>
      <c r="X79" s="6" t="b">
        <f t="shared" si="28"/>
        <v>0</v>
      </c>
      <c r="Y79" s="6">
        <v>71</v>
      </c>
      <c r="Z79" s="6" t="b">
        <f t="shared" si="29"/>
        <v>0</v>
      </c>
      <c r="AA79" s="6">
        <v>65.114000000000004</v>
      </c>
      <c r="AB79" s="6" t="b">
        <f t="shared" si="30"/>
        <v>0</v>
      </c>
      <c r="AC79" s="6">
        <v>20.933</v>
      </c>
      <c r="AD79" s="8" t="b">
        <f t="shared" si="31"/>
        <v>0</v>
      </c>
      <c r="AE79" s="8">
        <f t="shared" si="32"/>
        <v>44.181000000000004</v>
      </c>
      <c r="AF79" t="b">
        <f t="shared" si="33"/>
        <v>0</v>
      </c>
    </row>
    <row r="80" spans="1:32" x14ac:dyDescent="0.3">
      <c r="A80" s="6">
        <v>180</v>
      </c>
      <c r="B80" s="6" t="b">
        <f t="shared" si="17"/>
        <v>0</v>
      </c>
      <c r="C80" s="6">
        <v>3</v>
      </c>
      <c r="D80" s="6" t="b">
        <f t="shared" si="18"/>
        <v>0</v>
      </c>
      <c r="E80" s="6">
        <v>6</v>
      </c>
      <c r="F80" s="6" t="b">
        <f t="shared" si="19"/>
        <v>0</v>
      </c>
      <c r="G80" s="6">
        <v>157</v>
      </c>
      <c r="H80" s="6" t="b">
        <f t="shared" si="20"/>
        <v>0</v>
      </c>
      <c r="I80" s="6">
        <v>2.1</v>
      </c>
      <c r="J80" s="6" t="b">
        <f t="shared" si="21"/>
        <v>0</v>
      </c>
      <c r="K80" s="6">
        <v>2.94</v>
      </c>
      <c r="L80" s="6" t="b">
        <f t="shared" si="22"/>
        <v>0</v>
      </c>
      <c r="M80" s="6">
        <v>299</v>
      </c>
      <c r="N80" s="6" t="b">
        <f t="shared" si="23"/>
        <v>0</v>
      </c>
      <c r="O80" s="6">
        <v>5</v>
      </c>
      <c r="P80" s="6" t="b">
        <f t="shared" si="24"/>
        <v>0</v>
      </c>
      <c r="Q80" s="6">
        <v>54</v>
      </c>
      <c r="R80" s="6" t="b">
        <f t="shared" si="25"/>
        <v>0</v>
      </c>
      <c r="S80" s="6">
        <v>10</v>
      </c>
      <c r="T80" s="6" t="b">
        <f t="shared" si="26"/>
        <v>0</v>
      </c>
      <c r="U80" s="6">
        <v>2.2000000000000001E-3</v>
      </c>
      <c r="V80" s="6" t="b">
        <f t="shared" si="27"/>
        <v>0</v>
      </c>
      <c r="W80" s="6">
        <v>103</v>
      </c>
      <c r="X80" s="6" t="b">
        <f t="shared" si="28"/>
        <v>0</v>
      </c>
      <c r="Y80" s="6">
        <v>54</v>
      </c>
      <c r="Z80" s="6" t="b">
        <f t="shared" si="29"/>
        <v>0</v>
      </c>
      <c r="AA80" s="6">
        <v>33.375999999999998</v>
      </c>
      <c r="AB80" s="6" t="b">
        <f t="shared" si="30"/>
        <v>0</v>
      </c>
      <c r="AC80" s="6">
        <v>14.574</v>
      </c>
      <c r="AD80" s="8" t="b">
        <f t="shared" si="31"/>
        <v>0</v>
      </c>
      <c r="AE80" s="8">
        <f t="shared" si="32"/>
        <v>18.802</v>
      </c>
      <c r="AF80" t="b">
        <f t="shared" si="33"/>
        <v>0</v>
      </c>
    </row>
    <row r="81" spans="1:32" x14ac:dyDescent="0.3">
      <c r="A81" s="6">
        <v>326</v>
      </c>
      <c r="B81" s="6" t="b">
        <f t="shared" si="17"/>
        <v>0</v>
      </c>
      <c r="C81" s="6">
        <v>3</v>
      </c>
      <c r="D81" s="6" t="b">
        <f t="shared" si="18"/>
        <v>0</v>
      </c>
      <c r="E81" s="6">
        <v>5</v>
      </c>
      <c r="F81" s="6" t="b">
        <f t="shared" si="19"/>
        <v>0</v>
      </c>
      <c r="G81" s="6">
        <v>163</v>
      </c>
      <c r="H81" s="6" t="b">
        <f t="shared" si="20"/>
        <v>0</v>
      </c>
      <c r="I81" s="6">
        <v>3.5</v>
      </c>
      <c r="J81" s="6" t="b">
        <f t="shared" si="21"/>
        <v>0</v>
      </c>
      <c r="K81" s="6">
        <v>2.94</v>
      </c>
      <c r="L81" s="6" t="b">
        <f t="shared" si="22"/>
        <v>0</v>
      </c>
      <c r="M81" s="6">
        <v>269</v>
      </c>
      <c r="N81" s="6" t="b">
        <f t="shared" si="23"/>
        <v>0</v>
      </c>
      <c r="O81" s="6">
        <v>5</v>
      </c>
      <c r="P81" s="6" t="b">
        <f t="shared" si="24"/>
        <v>0</v>
      </c>
      <c r="Q81" s="6">
        <v>54</v>
      </c>
      <c r="R81" s="6" t="b">
        <f t="shared" si="25"/>
        <v>0</v>
      </c>
      <c r="S81" s="6">
        <v>13</v>
      </c>
      <c r="T81" s="6" t="b">
        <f t="shared" si="26"/>
        <v>0</v>
      </c>
      <c r="U81" s="6">
        <v>1.5E-3</v>
      </c>
      <c r="V81" s="6" t="b">
        <f t="shared" si="27"/>
        <v>0</v>
      </c>
      <c r="W81" s="6">
        <v>101</v>
      </c>
      <c r="X81" s="6" t="b">
        <f t="shared" si="28"/>
        <v>0</v>
      </c>
      <c r="Y81" s="6">
        <v>62</v>
      </c>
      <c r="Z81" s="6" t="b">
        <f t="shared" si="29"/>
        <v>0</v>
      </c>
      <c r="AA81" s="6">
        <v>41.317999999999998</v>
      </c>
      <c r="AB81" s="6" t="b">
        <f t="shared" si="30"/>
        <v>0</v>
      </c>
      <c r="AC81" s="6">
        <v>3.665</v>
      </c>
      <c r="AD81" s="8" t="b">
        <f t="shared" si="31"/>
        <v>0</v>
      </c>
      <c r="AE81" s="8">
        <f t="shared" si="32"/>
        <v>37.652999999999999</v>
      </c>
      <c r="AF81" t="b">
        <f t="shared" si="33"/>
        <v>0</v>
      </c>
    </row>
    <row r="82" spans="1:32" x14ac:dyDescent="0.3">
      <c r="A82" s="6">
        <v>190</v>
      </c>
      <c r="B82" s="6" t="b">
        <f t="shared" si="17"/>
        <v>0</v>
      </c>
      <c r="C82" s="6">
        <v>3</v>
      </c>
      <c r="D82" s="6" t="b">
        <f t="shared" si="18"/>
        <v>0</v>
      </c>
      <c r="E82" s="6">
        <v>5</v>
      </c>
      <c r="F82" s="6" t="b">
        <f t="shared" si="19"/>
        <v>0</v>
      </c>
      <c r="G82" s="6">
        <v>123</v>
      </c>
      <c r="H82" s="6" t="b">
        <f t="shared" si="20"/>
        <v>0</v>
      </c>
      <c r="I82" s="6">
        <v>5</v>
      </c>
      <c r="J82" s="6" t="b">
        <f t="shared" si="21"/>
        <v>0</v>
      </c>
      <c r="K82" s="6">
        <v>2.94</v>
      </c>
      <c r="L82" s="6" t="b">
        <f t="shared" si="22"/>
        <v>0</v>
      </c>
      <c r="M82" s="6">
        <v>155</v>
      </c>
      <c r="N82" s="6" t="b">
        <f t="shared" si="23"/>
        <v>0</v>
      </c>
      <c r="O82" s="6">
        <v>10</v>
      </c>
      <c r="P82" s="6" t="b">
        <f t="shared" si="24"/>
        <v>0</v>
      </c>
      <c r="Q82" s="6">
        <v>73</v>
      </c>
      <c r="R82" s="6" t="b">
        <f t="shared" si="25"/>
        <v>0</v>
      </c>
      <c r="S82" s="6">
        <v>11</v>
      </c>
      <c r="T82" s="6" t="b">
        <f t="shared" si="26"/>
        <v>0</v>
      </c>
      <c r="U82" s="6">
        <v>3.5000000000000001E-3</v>
      </c>
      <c r="V82" s="6" t="b">
        <f t="shared" si="27"/>
        <v>0</v>
      </c>
      <c r="W82" s="6">
        <v>72</v>
      </c>
      <c r="X82" s="6" t="b">
        <f t="shared" si="28"/>
        <v>0</v>
      </c>
      <c r="Y82" s="6">
        <v>51</v>
      </c>
      <c r="Z82" s="6" t="b">
        <f t="shared" si="29"/>
        <v>0</v>
      </c>
      <c r="AA82" s="6">
        <v>9.1969999999999992</v>
      </c>
      <c r="AB82" s="6" t="b">
        <f t="shared" si="30"/>
        <v>0</v>
      </c>
      <c r="AC82" s="6">
        <v>8.0079999999999991</v>
      </c>
      <c r="AD82" s="8" t="b">
        <f t="shared" si="31"/>
        <v>0</v>
      </c>
      <c r="AE82" s="8">
        <f t="shared" si="32"/>
        <v>1.1890000000000001</v>
      </c>
      <c r="AF82" t="b">
        <f t="shared" si="33"/>
        <v>0</v>
      </c>
    </row>
    <row r="83" spans="1:32" x14ac:dyDescent="0.3">
      <c r="A83" s="6">
        <v>310</v>
      </c>
      <c r="B83" s="6" t="b">
        <f t="shared" si="17"/>
        <v>0</v>
      </c>
      <c r="C83" s="6">
        <v>3</v>
      </c>
      <c r="D83" s="6" t="b">
        <f t="shared" si="18"/>
        <v>0</v>
      </c>
      <c r="E83" s="6">
        <v>16</v>
      </c>
      <c r="F83" s="6" t="b">
        <f t="shared" si="19"/>
        <v>1</v>
      </c>
      <c r="G83" s="6">
        <v>160</v>
      </c>
      <c r="H83" s="6" t="b">
        <f t="shared" si="20"/>
        <v>0</v>
      </c>
      <c r="I83" s="6">
        <v>6.1</v>
      </c>
      <c r="J83" s="6" t="b">
        <f t="shared" si="21"/>
        <v>0</v>
      </c>
      <c r="K83" s="6">
        <v>2.94</v>
      </c>
      <c r="L83" s="6" t="b">
        <f t="shared" si="22"/>
        <v>0</v>
      </c>
      <c r="M83" s="6">
        <v>53</v>
      </c>
      <c r="N83" s="6" t="b">
        <f t="shared" si="23"/>
        <v>0</v>
      </c>
      <c r="O83" s="6">
        <v>5</v>
      </c>
      <c r="P83" s="6" t="b">
        <f t="shared" si="24"/>
        <v>0</v>
      </c>
      <c r="Q83" s="6">
        <v>64</v>
      </c>
      <c r="R83" s="6" t="b">
        <f t="shared" si="25"/>
        <v>0</v>
      </c>
      <c r="S83" s="6">
        <v>11</v>
      </c>
      <c r="T83" s="6" t="b">
        <f t="shared" si="26"/>
        <v>0</v>
      </c>
      <c r="U83" s="6">
        <v>2.5000000000000001E-3</v>
      </c>
      <c r="V83" s="6" t="b">
        <f t="shared" si="27"/>
        <v>0</v>
      </c>
      <c r="W83" s="6">
        <v>129</v>
      </c>
      <c r="X83" s="6" t="b">
        <f t="shared" si="28"/>
        <v>0</v>
      </c>
      <c r="Y83" s="6">
        <v>31</v>
      </c>
      <c r="Z83" s="6" t="b">
        <f t="shared" si="29"/>
        <v>0</v>
      </c>
      <c r="AA83" s="6">
        <v>43.326000000000001</v>
      </c>
      <c r="AB83" s="6" t="b">
        <f t="shared" si="30"/>
        <v>0</v>
      </c>
      <c r="AC83" s="6">
        <v>33.582999999999998</v>
      </c>
      <c r="AD83" s="8" t="b">
        <f t="shared" si="31"/>
        <v>0</v>
      </c>
      <c r="AE83" s="8">
        <f t="shared" si="32"/>
        <v>9.7430000000000021</v>
      </c>
      <c r="AF83" t="b">
        <f t="shared" si="33"/>
        <v>0</v>
      </c>
    </row>
    <row r="84" spans="1:32" x14ac:dyDescent="0.3">
      <c r="A84" s="6">
        <v>230</v>
      </c>
      <c r="B84" s="6" t="b">
        <f t="shared" si="17"/>
        <v>0</v>
      </c>
      <c r="C84" s="6">
        <v>4</v>
      </c>
      <c r="D84" s="6" t="b">
        <f t="shared" si="18"/>
        <v>0</v>
      </c>
      <c r="E84" s="6">
        <v>4</v>
      </c>
      <c r="F84" s="6" t="b">
        <f t="shared" si="19"/>
        <v>0</v>
      </c>
      <c r="G84" s="6">
        <v>150</v>
      </c>
      <c r="H84" s="6" t="b">
        <f t="shared" si="20"/>
        <v>0</v>
      </c>
      <c r="I84" s="6">
        <v>10</v>
      </c>
      <c r="J84" s="6" t="b">
        <f t="shared" si="21"/>
        <v>1</v>
      </c>
      <c r="K84" s="6">
        <v>2.94</v>
      </c>
      <c r="L84" s="6" t="b">
        <f t="shared" si="22"/>
        <v>0</v>
      </c>
      <c r="M84" s="6">
        <v>238</v>
      </c>
      <c r="N84" s="6" t="b">
        <f t="shared" si="23"/>
        <v>0</v>
      </c>
      <c r="O84" s="6">
        <v>5</v>
      </c>
      <c r="P84" s="6" t="b">
        <f t="shared" si="24"/>
        <v>0</v>
      </c>
      <c r="Q84" s="6">
        <v>67</v>
      </c>
      <c r="R84" s="6" t="b">
        <f t="shared" si="25"/>
        <v>0</v>
      </c>
      <c r="S84" s="6">
        <v>16</v>
      </c>
      <c r="T84" s="6" t="b">
        <f t="shared" si="26"/>
        <v>0</v>
      </c>
      <c r="U84" s="6">
        <v>1.4E-3</v>
      </c>
      <c r="V84" s="6" t="b">
        <f t="shared" si="27"/>
        <v>0</v>
      </c>
      <c r="W84" s="6">
        <v>61</v>
      </c>
      <c r="X84" s="6" t="b">
        <f t="shared" si="28"/>
        <v>0</v>
      </c>
      <c r="Y84" s="6">
        <v>89</v>
      </c>
      <c r="Z84" s="6" t="b">
        <f t="shared" si="29"/>
        <v>0</v>
      </c>
      <c r="AA84" s="6">
        <v>74.39</v>
      </c>
      <c r="AB84" s="6" t="b">
        <f t="shared" si="30"/>
        <v>0</v>
      </c>
      <c r="AC84" s="6">
        <v>42.036999999999999</v>
      </c>
      <c r="AD84" s="8" t="b">
        <f t="shared" si="31"/>
        <v>0</v>
      </c>
      <c r="AE84" s="8">
        <f t="shared" si="32"/>
        <v>32.353000000000002</v>
      </c>
      <c r="AF84" t="b">
        <f t="shared" si="33"/>
        <v>0</v>
      </c>
    </row>
    <row r="85" spans="1:32" x14ac:dyDescent="0.3">
      <c r="A85" s="6">
        <v>289</v>
      </c>
      <c r="B85" s="6" t="b">
        <f t="shared" si="17"/>
        <v>0</v>
      </c>
      <c r="C85" s="6">
        <v>3</v>
      </c>
      <c r="D85" s="6" t="b">
        <f t="shared" si="18"/>
        <v>0</v>
      </c>
      <c r="E85" s="6">
        <v>6</v>
      </c>
      <c r="F85" s="6" t="b">
        <f t="shared" si="19"/>
        <v>0</v>
      </c>
      <c r="G85" s="6">
        <v>148</v>
      </c>
      <c r="H85" s="6" t="b">
        <f t="shared" si="20"/>
        <v>0</v>
      </c>
      <c r="I85" s="6">
        <v>5</v>
      </c>
      <c r="J85" s="6" t="b">
        <f t="shared" si="21"/>
        <v>0</v>
      </c>
      <c r="K85" s="6">
        <v>2.94</v>
      </c>
      <c r="L85" s="6" t="b">
        <f t="shared" si="22"/>
        <v>0</v>
      </c>
      <c r="M85" s="6">
        <v>269</v>
      </c>
      <c r="N85" s="6" t="b">
        <f t="shared" si="23"/>
        <v>0</v>
      </c>
      <c r="O85" s="6">
        <v>10</v>
      </c>
      <c r="P85" s="6" t="b">
        <f t="shared" si="24"/>
        <v>0</v>
      </c>
      <c r="Q85" s="6">
        <v>71</v>
      </c>
      <c r="R85" s="6" t="b">
        <f t="shared" si="25"/>
        <v>0</v>
      </c>
      <c r="S85" s="6">
        <v>19</v>
      </c>
      <c r="T85" s="6" t="b">
        <f t="shared" si="26"/>
        <v>0</v>
      </c>
      <c r="U85" s="6">
        <v>2E-3</v>
      </c>
      <c r="V85" s="6" t="b">
        <f t="shared" si="27"/>
        <v>0</v>
      </c>
      <c r="W85" s="6">
        <v>68</v>
      </c>
      <c r="X85" s="6" t="b">
        <f t="shared" si="28"/>
        <v>0</v>
      </c>
      <c r="Y85" s="6">
        <v>80</v>
      </c>
      <c r="Z85" s="6" t="b">
        <f t="shared" si="29"/>
        <v>0</v>
      </c>
      <c r="AA85" s="6">
        <v>132.749</v>
      </c>
      <c r="AB85" s="6" t="b">
        <f t="shared" si="30"/>
        <v>0</v>
      </c>
      <c r="AC85" s="6">
        <v>42.877000000000002</v>
      </c>
      <c r="AD85" s="8" t="b">
        <f t="shared" si="31"/>
        <v>0</v>
      </c>
      <c r="AE85" s="8">
        <f t="shared" si="32"/>
        <v>89.871999999999986</v>
      </c>
      <c r="AF85" t="b">
        <f t="shared" si="33"/>
        <v>0</v>
      </c>
    </row>
    <row r="86" spans="1:32" x14ac:dyDescent="0.3">
      <c r="A86" s="6">
        <v>346</v>
      </c>
      <c r="B86" s="6" t="b">
        <f t="shared" si="17"/>
        <v>0</v>
      </c>
      <c r="C86" s="6">
        <v>3</v>
      </c>
      <c r="D86" s="6" t="b">
        <f t="shared" si="18"/>
        <v>0</v>
      </c>
      <c r="E86" s="6">
        <v>7</v>
      </c>
      <c r="F86" s="6" t="b">
        <f t="shared" si="19"/>
        <v>0</v>
      </c>
      <c r="G86" s="6">
        <v>165</v>
      </c>
      <c r="H86" s="6" t="b">
        <f t="shared" si="20"/>
        <v>0</v>
      </c>
      <c r="I86" s="6">
        <v>5</v>
      </c>
      <c r="J86" s="6" t="b">
        <f t="shared" si="21"/>
        <v>0</v>
      </c>
      <c r="K86" s="6">
        <v>2.94</v>
      </c>
      <c r="L86" s="6" t="b">
        <f t="shared" si="22"/>
        <v>0</v>
      </c>
      <c r="M86" s="6">
        <v>352</v>
      </c>
      <c r="N86" s="6" t="b">
        <f t="shared" si="23"/>
        <v>0</v>
      </c>
      <c r="O86" s="6">
        <v>5</v>
      </c>
      <c r="P86" s="6" t="b">
        <f t="shared" si="24"/>
        <v>0</v>
      </c>
      <c r="Q86" s="6">
        <v>37</v>
      </c>
      <c r="R86" s="6" t="b">
        <f t="shared" si="25"/>
        <v>0</v>
      </c>
      <c r="S86" s="6">
        <v>19</v>
      </c>
      <c r="T86" s="6" t="b">
        <f t="shared" si="26"/>
        <v>0</v>
      </c>
      <c r="U86" s="6">
        <v>2E-3</v>
      </c>
      <c r="V86" s="6" t="b">
        <f t="shared" si="27"/>
        <v>0</v>
      </c>
      <c r="W86" s="6">
        <v>55</v>
      </c>
      <c r="X86" s="6" t="b">
        <f t="shared" si="28"/>
        <v>0</v>
      </c>
      <c r="Y86" s="6">
        <v>110</v>
      </c>
      <c r="Z86" s="6" t="b">
        <f t="shared" si="29"/>
        <v>0</v>
      </c>
      <c r="AA86" s="6">
        <v>25.661000000000001</v>
      </c>
      <c r="AB86" s="6" t="b">
        <f t="shared" si="30"/>
        <v>0</v>
      </c>
      <c r="AC86" s="6">
        <v>4.9050000000000002</v>
      </c>
      <c r="AD86" s="8" t="b">
        <f t="shared" si="31"/>
        <v>0</v>
      </c>
      <c r="AE86" s="8">
        <f t="shared" si="32"/>
        <v>20.756</v>
      </c>
      <c r="AF86" t="b">
        <f t="shared" si="33"/>
        <v>0</v>
      </c>
    </row>
    <row r="87" spans="1:32" x14ac:dyDescent="0.3">
      <c r="A87" s="6">
        <v>420</v>
      </c>
      <c r="B87" s="6" t="b">
        <f t="shared" si="17"/>
        <v>0</v>
      </c>
      <c r="C87" s="6">
        <v>10</v>
      </c>
      <c r="D87" s="6" t="b">
        <f t="shared" si="18"/>
        <v>1</v>
      </c>
      <c r="E87" s="6">
        <v>12</v>
      </c>
      <c r="F87" s="6" t="b">
        <f t="shared" si="19"/>
        <v>0</v>
      </c>
      <c r="G87" s="6">
        <v>167</v>
      </c>
      <c r="H87" s="6" t="b">
        <f t="shared" si="20"/>
        <v>0</v>
      </c>
      <c r="I87" s="6">
        <v>1.3</v>
      </c>
      <c r="J87" s="6" t="b">
        <f t="shared" si="21"/>
        <v>0</v>
      </c>
      <c r="K87" s="6">
        <v>2.94</v>
      </c>
      <c r="L87" s="6" t="b">
        <f t="shared" si="22"/>
        <v>0</v>
      </c>
      <c r="M87" s="6">
        <v>214</v>
      </c>
      <c r="N87" s="6" t="b">
        <f t="shared" si="23"/>
        <v>0</v>
      </c>
      <c r="O87" s="6">
        <v>5</v>
      </c>
      <c r="P87" s="6" t="b">
        <f t="shared" si="24"/>
        <v>0</v>
      </c>
      <c r="Q87" s="6">
        <v>45</v>
      </c>
      <c r="R87" s="6" t="b">
        <f t="shared" si="25"/>
        <v>0</v>
      </c>
      <c r="S87" s="6">
        <v>17</v>
      </c>
      <c r="T87" s="6" t="b">
        <f t="shared" si="26"/>
        <v>0</v>
      </c>
      <c r="U87" s="6">
        <v>1.6999999999999999E-3</v>
      </c>
      <c r="V87" s="6" t="b">
        <f t="shared" si="27"/>
        <v>0</v>
      </c>
      <c r="W87" s="6">
        <v>113</v>
      </c>
      <c r="X87" s="6" t="b">
        <f t="shared" si="28"/>
        <v>0</v>
      </c>
      <c r="Y87" s="6">
        <v>54</v>
      </c>
      <c r="Z87" s="6" t="b">
        <f t="shared" si="29"/>
        <v>0</v>
      </c>
      <c r="AA87" s="6">
        <v>155.76400000000001</v>
      </c>
      <c r="AB87" s="6" t="b">
        <f t="shared" si="30"/>
        <v>0</v>
      </c>
      <c r="AC87" s="6">
        <v>50.914000000000001</v>
      </c>
      <c r="AD87" s="8" t="b">
        <f t="shared" si="31"/>
        <v>0</v>
      </c>
      <c r="AE87" s="8">
        <f t="shared" si="32"/>
        <v>104.85000000000001</v>
      </c>
      <c r="AF87" t="b">
        <f t="shared" si="33"/>
        <v>0</v>
      </c>
    </row>
    <row r="88" spans="1:32" x14ac:dyDescent="0.3">
      <c r="A88" s="6">
        <v>309</v>
      </c>
      <c r="B88" s="6" t="b">
        <f t="shared" si="17"/>
        <v>0</v>
      </c>
      <c r="C88" s="6">
        <v>3</v>
      </c>
      <c r="D88" s="6" t="b">
        <f t="shared" si="18"/>
        <v>0</v>
      </c>
      <c r="E88" s="6">
        <v>10</v>
      </c>
      <c r="F88" s="6" t="b">
        <f t="shared" si="19"/>
        <v>0</v>
      </c>
      <c r="G88" s="6">
        <v>126</v>
      </c>
      <c r="H88" s="6" t="b">
        <f t="shared" si="20"/>
        <v>0</v>
      </c>
      <c r="I88" s="6">
        <v>4</v>
      </c>
      <c r="J88" s="6" t="b">
        <f t="shared" si="21"/>
        <v>0</v>
      </c>
      <c r="K88" s="6">
        <v>2.94</v>
      </c>
      <c r="L88" s="6" t="b">
        <f t="shared" si="22"/>
        <v>0</v>
      </c>
      <c r="M88" s="6">
        <v>220</v>
      </c>
      <c r="N88" s="6" t="b">
        <f t="shared" si="23"/>
        <v>0</v>
      </c>
      <c r="O88" s="6">
        <v>10</v>
      </c>
      <c r="P88" s="6" t="b">
        <f t="shared" si="24"/>
        <v>0</v>
      </c>
      <c r="Q88" s="6">
        <v>92</v>
      </c>
      <c r="R88" s="6" t="b">
        <f t="shared" si="25"/>
        <v>0</v>
      </c>
      <c r="S88" s="6">
        <v>14</v>
      </c>
      <c r="T88" s="6" t="b">
        <f t="shared" si="26"/>
        <v>0</v>
      </c>
      <c r="U88" s="6">
        <v>1.6999999999999999E-3</v>
      </c>
      <c r="V88" s="6" t="b">
        <f t="shared" si="27"/>
        <v>0</v>
      </c>
      <c r="W88" s="6">
        <v>84</v>
      </c>
      <c r="X88" s="6" t="b">
        <f t="shared" si="28"/>
        <v>0</v>
      </c>
      <c r="Y88" s="6">
        <v>42</v>
      </c>
      <c r="Z88" s="6" t="b">
        <f t="shared" si="29"/>
        <v>0</v>
      </c>
      <c r="AA88" s="6">
        <v>67.215000000000003</v>
      </c>
      <c r="AB88" s="6" t="b">
        <f t="shared" si="30"/>
        <v>0</v>
      </c>
      <c r="AC88" s="6">
        <v>14.561</v>
      </c>
      <c r="AD88" s="8" t="b">
        <f t="shared" si="31"/>
        <v>0</v>
      </c>
      <c r="AE88" s="8">
        <f t="shared" si="32"/>
        <v>52.654000000000003</v>
      </c>
      <c r="AF88" t="b">
        <f t="shared" si="33"/>
        <v>0</v>
      </c>
    </row>
    <row r="89" spans="1:32" x14ac:dyDescent="0.3">
      <c r="A89" s="6">
        <v>330</v>
      </c>
      <c r="B89" s="6" t="b">
        <f t="shared" si="17"/>
        <v>0</v>
      </c>
      <c r="C89" s="6">
        <v>3</v>
      </c>
      <c r="D89" s="6" t="b">
        <f t="shared" si="18"/>
        <v>0</v>
      </c>
      <c r="E89" s="6">
        <v>4</v>
      </c>
      <c r="F89" s="6" t="b">
        <f t="shared" si="19"/>
        <v>0</v>
      </c>
      <c r="G89" s="6">
        <v>155</v>
      </c>
      <c r="H89" s="6" t="b">
        <f t="shared" si="20"/>
        <v>0</v>
      </c>
      <c r="I89" s="6">
        <v>3.5</v>
      </c>
      <c r="J89" s="6" t="b">
        <f t="shared" si="21"/>
        <v>0</v>
      </c>
      <c r="K89" s="6">
        <v>2.94</v>
      </c>
      <c r="L89" s="6" t="b">
        <f t="shared" si="22"/>
        <v>0</v>
      </c>
      <c r="M89" s="6">
        <v>137</v>
      </c>
      <c r="N89" s="6" t="b">
        <f t="shared" si="23"/>
        <v>0</v>
      </c>
      <c r="O89" s="6">
        <v>15</v>
      </c>
      <c r="P89" s="6" t="b">
        <f t="shared" si="24"/>
        <v>0</v>
      </c>
      <c r="Q89" s="6">
        <v>96</v>
      </c>
      <c r="R89" s="6" t="b">
        <f t="shared" si="25"/>
        <v>0</v>
      </c>
      <c r="S89" s="6">
        <v>11</v>
      </c>
      <c r="T89" s="6" t="b">
        <f t="shared" si="26"/>
        <v>0</v>
      </c>
      <c r="U89" s="6">
        <v>5.0999999999999995E-3</v>
      </c>
      <c r="V89" s="6" t="b">
        <f t="shared" si="27"/>
        <v>0</v>
      </c>
      <c r="W89" s="6">
        <v>81</v>
      </c>
      <c r="X89" s="6" t="b">
        <f t="shared" si="28"/>
        <v>0</v>
      </c>
      <c r="Y89" s="6">
        <v>74</v>
      </c>
      <c r="Z89" s="6" t="b">
        <f t="shared" si="29"/>
        <v>0</v>
      </c>
      <c r="AA89" s="6">
        <v>22.873000000000001</v>
      </c>
      <c r="AB89" s="6" t="b">
        <f t="shared" si="30"/>
        <v>0</v>
      </c>
      <c r="AC89" s="6">
        <v>17.529</v>
      </c>
      <c r="AD89" s="8" t="b">
        <f t="shared" si="31"/>
        <v>0</v>
      </c>
      <c r="AE89" s="8">
        <f t="shared" si="32"/>
        <v>5.3440000000000012</v>
      </c>
      <c r="AF89" t="b">
        <f t="shared" si="33"/>
        <v>0</v>
      </c>
    </row>
    <row r="90" spans="1:32" x14ac:dyDescent="0.3">
      <c r="A90" s="6">
        <v>250</v>
      </c>
      <c r="B90" s="6" t="b">
        <f t="shared" si="17"/>
        <v>0</v>
      </c>
      <c r="C90" s="6">
        <v>3</v>
      </c>
      <c r="D90" s="6" t="b">
        <f t="shared" si="18"/>
        <v>0</v>
      </c>
      <c r="E90" s="6">
        <v>6</v>
      </c>
      <c r="F90" s="6" t="b">
        <f t="shared" si="19"/>
        <v>0</v>
      </c>
      <c r="G90" s="6">
        <v>155</v>
      </c>
      <c r="H90" s="6" t="b">
        <f t="shared" si="20"/>
        <v>0</v>
      </c>
      <c r="I90" s="6">
        <v>2.2999999999999998</v>
      </c>
      <c r="J90" s="6" t="b">
        <f t="shared" si="21"/>
        <v>0</v>
      </c>
      <c r="K90" s="6">
        <v>2.94</v>
      </c>
      <c r="L90" s="6" t="b">
        <f t="shared" si="22"/>
        <v>0</v>
      </c>
      <c r="M90" s="6">
        <v>299</v>
      </c>
      <c r="N90" s="6" t="b">
        <f t="shared" si="23"/>
        <v>0</v>
      </c>
      <c r="O90" s="6">
        <v>5</v>
      </c>
      <c r="P90" s="6" t="b">
        <f t="shared" si="24"/>
        <v>0</v>
      </c>
      <c r="Q90" s="6">
        <v>37</v>
      </c>
      <c r="R90" s="6" t="b">
        <f t="shared" si="25"/>
        <v>0</v>
      </c>
      <c r="S90" s="6">
        <v>16</v>
      </c>
      <c r="T90" s="6" t="b">
        <f t="shared" si="26"/>
        <v>0</v>
      </c>
      <c r="U90" s="6">
        <v>2.2000000000000001E-3</v>
      </c>
      <c r="V90" s="6" t="b">
        <f t="shared" si="27"/>
        <v>0</v>
      </c>
      <c r="W90" s="6">
        <v>56</v>
      </c>
      <c r="X90" s="6" t="b">
        <f t="shared" si="28"/>
        <v>0</v>
      </c>
      <c r="Y90" s="6">
        <v>99</v>
      </c>
      <c r="Z90" s="6" t="b">
        <f t="shared" si="29"/>
        <v>0</v>
      </c>
      <c r="AA90" s="6">
        <v>21.030999999999999</v>
      </c>
      <c r="AB90" s="6" t="b">
        <f t="shared" si="30"/>
        <v>0</v>
      </c>
      <c r="AC90" s="6">
        <v>6.3049999999999997</v>
      </c>
      <c r="AD90" s="8" t="b">
        <f t="shared" si="31"/>
        <v>0</v>
      </c>
      <c r="AE90" s="8">
        <f t="shared" si="32"/>
        <v>14.725999999999999</v>
      </c>
      <c r="AF90" t="b">
        <f t="shared" si="33"/>
        <v>0</v>
      </c>
    </row>
    <row r="91" spans="1:32" x14ac:dyDescent="0.3">
      <c r="A91" s="6">
        <v>360</v>
      </c>
      <c r="B91" s="6" t="b">
        <f t="shared" si="17"/>
        <v>0</v>
      </c>
      <c r="C91" s="6">
        <v>3</v>
      </c>
      <c r="D91" s="6" t="b">
        <f t="shared" si="18"/>
        <v>0</v>
      </c>
      <c r="E91" s="6">
        <v>10</v>
      </c>
      <c r="F91" s="6" t="b">
        <f t="shared" si="19"/>
        <v>0</v>
      </c>
      <c r="G91" s="6">
        <v>160</v>
      </c>
      <c r="H91" s="6" t="b">
        <f t="shared" si="20"/>
        <v>0</v>
      </c>
      <c r="I91" s="6">
        <v>4</v>
      </c>
      <c r="J91" s="6" t="b">
        <f t="shared" si="21"/>
        <v>0</v>
      </c>
      <c r="K91" s="6">
        <v>2.94</v>
      </c>
      <c r="L91" s="6" t="b">
        <f t="shared" si="22"/>
        <v>0</v>
      </c>
      <c r="M91" s="6">
        <v>220</v>
      </c>
      <c r="N91" s="6" t="b">
        <f t="shared" si="23"/>
        <v>0</v>
      </c>
      <c r="O91" s="6">
        <v>10</v>
      </c>
      <c r="P91" s="6" t="b">
        <f t="shared" si="24"/>
        <v>0</v>
      </c>
      <c r="Q91" s="6">
        <v>77</v>
      </c>
      <c r="R91" s="6" t="b">
        <f t="shared" si="25"/>
        <v>0</v>
      </c>
      <c r="S91" s="6">
        <v>17</v>
      </c>
      <c r="T91" s="6" t="b">
        <f t="shared" si="26"/>
        <v>0</v>
      </c>
      <c r="U91" s="6">
        <v>2.2000000000000001E-3</v>
      </c>
      <c r="V91" s="6" t="b">
        <f t="shared" si="27"/>
        <v>0</v>
      </c>
      <c r="W91" s="6">
        <v>97</v>
      </c>
      <c r="X91" s="6" t="b">
        <f t="shared" si="28"/>
        <v>0</v>
      </c>
      <c r="Y91" s="6">
        <v>63</v>
      </c>
      <c r="Z91" s="6" t="b">
        <f t="shared" si="29"/>
        <v>0</v>
      </c>
      <c r="AA91" s="6">
        <v>96.254999999999995</v>
      </c>
      <c r="AB91" s="6" t="b">
        <f t="shared" si="30"/>
        <v>0</v>
      </c>
      <c r="AC91" s="6">
        <v>45.454999999999998</v>
      </c>
      <c r="AD91" s="8" t="b">
        <f t="shared" si="31"/>
        <v>0</v>
      </c>
      <c r="AE91" s="8">
        <f t="shared" si="32"/>
        <v>50.8</v>
      </c>
      <c r="AF91" t="b">
        <f t="shared" si="33"/>
        <v>0</v>
      </c>
    </row>
    <row r="92" spans="1:32" x14ac:dyDescent="0.3">
      <c r="A92" s="6">
        <v>300</v>
      </c>
      <c r="B92" s="6" t="b">
        <f t="shared" si="17"/>
        <v>0</v>
      </c>
      <c r="C92" s="6">
        <v>4</v>
      </c>
      <c r="D92" s="6" t="b">
        <f t="shared" si="18"/>
        <v>0</v>
      </c>
      <c r="E92" s="6">
        <v>3</v>
      </c>
      <c r="F92" s="6" t="b">
        <f t="shared" si="19"/>
        <v>0</v>
      </c>
      <c r="G92" s="6">
        <v>160</v>
      </c>
      <c r="H92" s="6" t="b">
        <f t="shared" si="20"/>
        <v>0</v>
      </c>
      <c r="I92" s="6">
        <v>4</v>
      </c>
      <c r="J92" s="6" t="b">
        <f t="shared" si="21"/>
        <v>0</v>
      </c>
      <c r="K92" s="6">
        <v>2.94</v>
      </c>
      <c r="L92" s="6" t="b">
        <f t="shared" si="22"/>
        <v>0</v>
      </c>
      <c r="M92" s="6">
        <v>115</v>
      </c>
      <c r="N92" s="6" t="b">
        <f t="shared" si="23"/>
        <v>0</v>
      </c>
      <c r="O92" s="6">
        <v>5</v>
      </c>
      <c r="P92" s="6" t="b">
        <f t="shared" si="24"/>
        <v>0</v>
      </c>
      <c r="Q92" s="6">
        <v>45</v>
      </c>
      <c r="R92" s="6" t="b">
        <f t="shared" si="25"/>
        <v>0</v>
      </c>
      <c r="S92" s="6">
        <v>14</v>
      </c>
      <c r="T92" s="6" t="b">
        <f t="shared" si="26"/>
        <v>0</v>
      </c>
      <c r="U92" s="6">
        <v>2.1000000000000003E-3</v>
      </c>
      <c r="V92" s="6" t="b">
        <f t="shared" si="27"/>
        <v>0</v>
      </c>
      <c r="W92" s="6">
        <v>64</v>
      </c>
      <c r="X92" s="6" t="b">
        <f t="shared" si="28"/>
        <v>0</v>
      </c>
      <c r="Y92" s="6">
        <v>96</v>
      </c>
      <c r="Z92" s="6" t="b">
        <f t="shared" si="29"/>
        <v>0</v>
      </c>
      <c r="AA92" s="6">
        <v>34.765999999999998</v>
      </c>
      <c r="AB92" s="6" t="b">
        <f t="shared" si="30"/>
        <v>0</v>
      </c>
      <c r="AC92" s="6">
        <v>18.919</v>
      </c>
      <c r="AD92" s="8" t="b">
        <f t="shared" si="31"/>
        <v>0</v>
      </c>
      <c r="AE92" s="8">
        <f t="shared" si="32"/>
        <v>15.846999999999998</v>
      </c>
      <c r="AF92" t="b">
        <f t="shared" si="33"/>
        <v>0</v>
      </c>
    </row>
    <row r="93" spans="1:32" x14ac:dyDescent="0.3">
      <c r="A93" s="6">
        <v>270</v>
      </c>
      <c r="B93" s="6" t="b">
        <f t="shared" si="17"/>
        <v>0</v>
      </c>
      <c r="C93" s="6">
        <v>3</v>
      </c>
      <c r="D93" s="6" t="b">
        <f t="shared" si="18"/>
        <v>0</v>
      </c>
      <c r="E93" s="6">
        <v>6</v>
      </c>
      <c r="F93" s="6" t="b">
        <f t="shared" si="19"/>
        <v>0</v>
      </c>
      <c r="G93" s="6">
        <v>148</v>
      </c>
      <c r="H93" s="6" t="b">
        <f t="shared" si="20"/>
        <v>0</v>
      </c>
      <c r="I93" s="6">
        <v>2.4</v>
      </c>
      <c r="J93" s="6" t="b">
        <f t="shared" si="21"/>
        <v>0</v>
      </c>
      <c r="K93" s="6">
        <v>2.94</v>
      </c>
      <c r="L93" s="6" t="b">
        <f t="shared" si="22"/>
        <v>0</v>
      </c>
      <c r="M93" s="6">
        <v>256</v>
      </c>
      <c r="N93" s="6" t="b">
        <f t="shared" si="23"/>
        <v>0</v>
      </c>
      <c r="O93" s="6">
        <v>7</v>
      </c>
      <c r="P93" s="6" t="b">
        <f t="shared" si="24"/>
        <v>0</v>
      </c>
      <c r="Q93" s="6">
        <v>40</v>
      </c>
      <c r="R93" s="6" t="b">
        <f t="shared" si="25"/>
        <v>0</v>
      </c>
      <c r="S93" s="6">
        <v>17</v>
      </c>
      <c r="T93" s="6" t="b">
        <f t="shared" si="26"/>
        <v>0</v>
      </c>
      <c r="U93" s="6">
        <v>2.5000000000000001E-3</v>
      </c>
      <c r="V93" s="6" t="b">
        <f t="shared" si="27"/>
        <v>0</v>
      </c>
      <c r="W93" s="6">
        <v>94</v>
      </c>
      <c r="X93" s="6" t="b">
        <f t="shared" si="28"/>
        <v>0</v>
      </c>
      <c r="Y93" s="6">
        <v>54</v>
      </c>
      <c r="Z93" s="6" t="b">
        <f t="shared" si="29"/>
        <v>0</v>
      </c>
      <c r="AA93" s="6">
        <v>50.927999999999997</v>
      </c>
      <c r="AB93" s="6" t="b">
        <f t="shared" si="30"/>
        <v>0</v>
      </c>
      <c r="AC93" s="6">
        <v>15.417</v>
      </c>
      <c r="AD93" s="8" t="b">
        <f t="shared" si="31"/>
        <v>0</v>
      </c>
      <c r="AE93" s="8">
        <f t="shared" si="32"/>
        <v>35.510999999999996</v>
      </c>
      <c r="AF93" t="b">
        <f t="shared" si="33"/>
        <v>0</v>
      </c>
    </row>
    <row r="94" spans="1:32" x14ac:dyDescent="0.3">
      <c r="A94" s="6">
        <v>200</v>
      </c>
      <c r="B94" s="6" t="b">
        <f t="shared" si="17"/>
        <v>0</v>
      </c>
      <c r="C94" s="6">
        <v>3</v>
      </c>
      <c r="D94" s="6" t="b">
        <f t="shared" si="18"/>
        <v>0</v>
      </c>
      <c r="E94" s="6">
        <v>3</v>
      </c>
      <c r="F94" s="6" t="b">
        <f t="shared" si="19"/>
        <v>0</v>
      </c>
      <c r="G94" s="6">
        <v>156</v>
      </c>
      <c r="H94" s="6" t="b">
        <f t="shared" si="20"/>
        <v>0</v>
      </c>
      <c r="I94" s="6">
        <v>4</v>
      </c>
      <c r="J94" s="6" t="b">
        <f t="shared" si="21"/>
        <v>0</v>
      </c>
      <c r="K94" s="6">
        <v>2.94</v>
      </c>
      <c r="L94" s="6" t="b">
        <f t="shared" si="22"/>
        <v>0</v>
      </c>
      <c r="M94" s="6">
        <v>256</v>
      </c>
      <c r="N94" s="6" t="b">
        <f t="shared" si="23"/>
        <v>0</v>
      </c>
      <c r="O94" s="6">
        <v>7</v>
      </c>
      <c r="P94" s="6" t="b">
        <f t="shared" si="24"/>
        <v>0</v>
      </c>
      <c r="Q94" s="6">
        <v>53</v>
      </c>
      <c r="R94" s="6" t="b">
        <f t="shared" si="25"/>
        <v>0</v>
      </c>
      <c r="S94" s="6">
        <v>19</v>
      </c>
      <c r="T94" s="6" t="b">
        <f t="shared" si="26"/>
        <v>0</v>
      </c>
      <c r="U94" s="6">
        <v>1.8E-3</v>
      </c>
      <c r="V94" s="6" t="b">
        <f t="shared" si="27"/>
        <v>0</v>
      </c>
      <c r="W94" s="6">
        <v>81</v>
      </c>
      <c r="X94" s="6" t="b">
        <f t="shared" si="28"/>
        <v>0</v>
      </c>
      <c r="Y94" s="6">
        <v>75</v>
      </c>
      <c r="Z94" s="6" t="b">
        <f t="shared" si="29"/>
        <v>0</v>
      </c>
      <c r="AA94" s="6">
        <v>75.986999999999995</v>
      </c>
      <c r="AB94" s="6" t="b">
        <f t="shared" si="30"/>
        <v>0</v>
      </c>
      <c r="AC94" s="6">
        <v>18.495000000000001</v>
      </c>
      <c r="AD94" s="8" t="b">
        <f t="shared" si="31"/>
        <v>0</v>
      </c>
      <c r="AE94" s="8">
        <f t="shared" si="32"/>
        <v>57.49199999999999</v>
      </c>
      <c r="AF94" t="b">
        <f t="shared" si="33"/>
        <v>0</v>
      </c>
    </row>
    <row r="95" spans="1:32" x14ac:dyDescent="0.3">
      <c r="A95" s="6">
        <v>296</v>
      </c>
      <c r="B95" s="6" t="b">
        <f t="shared" si="17"/>
        <v>0</v>
      </c>
      <c r="C95" s="6">
        <v>4</v>
      </c>
      <c r="D95" s="6" t="b">
        <f t="shared" si="18"/>
        <v>0</v>
      </c>
      <c r="E95" s="6">
        <v>8</v>
      </c>
      <c r="F95" s="6" t="b">
        <f t="shared" si="19"/>
        <v>0</v>
      </c>
      <c r="G95" s="6">
        <v>135</v>
      </c>
      <c r="H95" s="6" t="b">
        <f t="shared" si="20"/>
        <v>0</v>
      </c>
      <c r="I95" s="6">
        <v>4.7</v>
      </c>
      <c r="J95" s="6" t="b">
        <f t="shared" si="21"/>
        <v>0</v>
      </c>
      <c r="K95" s="6">
        <v>2.94</v>
      </c>
      <c r="L95" s="6" t="b">
        <f t="shared" si="22"/>
        <v>0</v>
      </c>
      <c r="M95" s="6">
        <v>284</v>
      </c>
      <c r="N95" s="6" t="b">
        <f t="shared" si="23"/>
        <v>0</v>
      </c>
      <c r="O95" s="6">
        <v>3</v>
      </c>
      <c r="P95" s="6" t="b">
        <f t="shared" si="24"/>
        <v>0</v>
      </c>
      <c r="Q95" s="6">
        <v>46</v>
      </c>
      <c r="R95" s="6" t="b">
        <f t="shared" si="25"/>
        <v>0</v>
      </c>
      <c r="S95" s="6">
        <v>16</v>
      </c>
      <c r="T95" s="6" t="b">
        <f t="shared" si="26"/>
        <v>0</v>
      </c>
      <c r="U95" s="6">
        <v>1E-3</v>
      </c>
      <c r="V95" s="6" t="b">
        <f t="shared" si="27"/>
        <v>0</v>
      </c>
      <c r="W95" s="6">
        <v>51</v>
      </c>
      <c r="X95" s="6" t="b">
        <f t="shared" si="28"/>
        <v>0</v>
      </c>
      <c r="Y95" s="6">
        <v>84</v>
      </c>
      <c r="Z95" s="6" t="b">
        <f t="shared" si="29"/>
        <v>0</v>
      </c>
      <c r="AA95" s="6">
        <v>20.556000000000001</v>
      </c>
      <c r="AB95" s="6" t="b">
        <f t="shared" si="30"/>
        <v>0</v>
      </c>
      <c r="AC95" s="6">
        <v>6.1470000000000002</v>
      </c>
      <c r="AD95" s="8" t="b">
        <f t="shared" si="31"/>
        <v>0</v>
      </c>
      <c r="AE95" s="8">
        <f t="shared" si="32"/>
        <v>14.409000000000001</v>
      </c>
      <c r="AF95" t="b">
        <f t="shared" si="33"/>
        <v>0</v>
      </c>
    </row>
    <row r="96" spans="1:32" x14ac:dyDescent="0.3">
      <c r="A96" s="6">
        <v>270</v>
      </c>
      <c r="B96" s="6" t="b">
        <f t="shared" si="17"/>
        <v>0</v>
      </c>
      <c r="C96" s="6">
        <v>3</v>
      </c>
      <c r="D96" s="6" t="b">
        <f t="shared" si="18"/>
        <v>0</v>
      </c>
      <c r="E96" s="6">
        <v>4</v>
      </c>
      <c r="F96" s="6" t="b">
        <f t="shared" si="19"/>
        <v>0</v>
      </c>
      <c r="G96" s="6">
        <v>155</v>
      </c>
      <c r="H96" s="6" t="b">
        <f t="shared" si="20"/>
        <v>0</v>
      </c>
      <c r="I96" s="6">
        <v>4.5</v>
      </c>
      <c r="J96" s="6" t="b">
        <f t="shared" si="21"/>
        <v>0</v>
      </c>
      <c r="K96" s="6">
        <v>2.94</v>
      </c>
      <c r="L96" s="6" t="b">
        <f t="shared" si="22"/>
        <v>0</v>
      </c>
      <c r="M96" s="6">
        <v>17</v>
      </c>
      <c r="N96" s="6" t="b">
        <f t="shared" si="23"/>
        <v>0</v>
      </c>
      <c r="O96" s="6">
        <v>7</v>
      </c>
      <c r="P96" s="6" t="b">
        <f t="shared" si="24"/>
        <v>0</v>
      </c>
      <c r="Q96" s="6">
        <v>58</v>
      </c>
      <c r="R96" s="6" t="b">
        <f t="shared" si="25"/>
        <v>0</v>
      </c>
      <c r="S96" s="6">
        <v>10</v>
      </c>
      <c r="T96" s="6" t="b">
        <f t="shared" si="26"/>
        <v>0</v>
      </c>
      <c r="U96" s="6">
        <v>3.3E-3</v>
      </c>
      <c r="V96" s="6" t="b">
        <f t="shared" si="27"/>
        <v>0</v>
      </c>
      <c r="W96" s="6">
        <v>90</v>
      </c>
      <c r="X96" s="6" t="b">
        <f t="shared" si="28"/>
        <v>0</v>
      </c>
      <c r="Y96" s="6">
        <v>65</v>
      </c>
      <c r="Z96" s="6" t="b">
        <f t="shared" si="29"/>
        <v>0</v>
      </c>
      <c r="AA96" s="6">
        <v>17.385999999999999</v>
      </c>
      <c r="AB96" s="6" t="b">
        <f t="shared" si="30"/>
        <v>0</v>
      </c>
      <c r="AC96" s="6">
        <v>13.582000000000001</v>
      </c>
      <c r="AD96" s="8" t="b">
        <f t="shared" si="31"/>
        <v>0</v>
      </c>
      <c r="AE96" s="8">
        <f t="shared" si="32"/>
        <v>3.8039999999999985</v>
      </c>
      <c r="AF96" t="b">
        <f t="shared" si="33"/>
        <v>0</v>
      </c>
    </row>
    <row r="97" spans="1:32" x14ac:dyDescent="0.3">
      <c r="A97" s="6">
        <v>310</v>
      </c>
      <c r="B97" s="6" t="b">
        <f t="shared" si="17"/>
        <v>0</v>
      </c>
      <c r="C97" s="6">
        <v>3</v>
      </c>
      <c r="D97" s="6" t="b">
        <f t="shared" si="18"/>
        <v>0</v>
      </c>
      <c r="E97" s="6">
        <v>4</v>
      </c>
      <c r="F97" s="6" t="b">
        <f t="shared" si="19"/>
        <v>0</v>
      </c>
      <c r="G97" s="6">
        <v>165</v>
      </c>
      <c r="H97" s="6" t="b">
        <f t="shared" si="20"/>
        <v>0</v>
      </c>
      <c r="I97" s="6">
        <v>2</v>
      </c>
      <c r="J97" s="6" t="b">
        <f t="shared" si="21"/>
        <v>0</v>
      </c>
      <c r="K97" s="6">
        <v>2.94</v>
      </c>
      <c r="L97" s="6" t="b">
        <f t="shared" si="22"/>
        <v>0</v>
      </c>
      <c r="M97" s="6">
        <v>22</v>
      </c>
      <c r="N97" s="6" t="b">
        <f t="shared" si="23"/>
        <v>0</v>
      </c>
      <c r="O97" s="6">
        <v>17</v>
      </c>
      <c r="P97" s="6" t="b">
        <f t="shared" si="24"/>
        <v>0</v>
      </c>
      <c r="Q97" s="6">
        <v>86</v>
      </c>
      <c r="R97" s="6" t="b">
        <f t="shared" si="25"/>
        <v>0</v>
      </c>
      <c r="S97" s="6">
        <v>15</v>
      </c>
      <c r="T97" s="6" t="b">
        <f t="shared" si="26"/>
        <v>0</v>
      </c>
      <c r="U97" s="6">
        <v>3.3999999999999998E-3</v>
      </c>
      <c r="V97" s="6" t="b">
        <f t="shared" si="27"/>
        <v>0</v>
      </c>
      <c r="W97" s="6">
        <v>51</v>
      </c>
      <c r="X97" s="6" t="b">
        <f t="shared" si="28"/>
        <v>0</v>
      </c>
      <c r="Y97" s="6">
        <v>114</v>
      </c>
      <c r="Z97" s="6" t="b">
        <f t="shared" si="29"/>
        <v>0</v>
      </c>
      <c r="AA97" s="6">
        <v>24.940999999999999</v>
      </c>
      <c r="AB97" s="6" t="b">
        <f t="shared" si="30"/>
        <v>0</v>
      </c>
      <c r="AC97" s="6">
        <v>19.356999999999999</v>
      </c>
      <c r="AD97" s="8" t="b">
        <f t="shared" si="31"/>
        <v>0</v>
      </c>
      <c r="AE97" s="8">
        <f t="shared" si="32"/>
        <v>5.5839999999999996</v>
      </c>
      <c r="AF97" t="b">
        <f t="shared" si="33"/>
        <v>0</v>
      </c>
    </row>
    <row r="98" spans="1:32" x14ac:dyDescent="0.3">
      <c r="A98" s="6">
        <v>230</v>
      </c>
      <c r="B98" s="6" t="b">
        <f t="shared" si="17"/>
        <v>0</v>
      </c>
      <c r="C98" s="6">
        <v>3</v>
      </c>
      <c r="D98" s="6" t="b">
        <f t="shared" si="18"/>
        <v>0</v>
      </c>
      <c r="E98" s="6">
        <v>5</v>
      </c>
      <c r="F98" s="6" t="b">
        <f t="shared" si="19"/>
        <v>0</v>
      </c>
      <c r="G98" s="6">
        <v>164</v>
      </c>
      <c r="H98" s="6" t="b">
        <f t="shared" si="20"/>
        <v>0</v>
      </c>
      <c r="I98" s="6">
        <v>2.5</v>
      </c>
      <c r="J98" s="6" t="b">
        <f t="shared" si="21"/>
        <v>0</v>
      </c>
      <c r="K98" s="6">
        <v>2.94</v>
      </c>
      <c r="L98" s="6" t="b">
        <f t="shared" si="22"/>
        <v>0</v>
      </c>
      <c r="M98" s="6">
        <v>256</v>
      </c>
      <c r="N98" s="6" t="b">
        <f t="shared" si="23"/>
        <v>0</v>
      </c>
      <c r="O98" s="6">
        <v>7</v>
      </c>
      <c r="P98" s="6" t="b">
        <f t="shared" si="24"/>
        <v>0</v>
      </c>
      <c r="Q98" s="6">
        <v>65</v>
      </c>
      <c r="R98" s="6" t="b">
        <f t="shared" si="25"/>
        <v>0</v>
      </c>
      <c r="S98" s="6">
        <v>14</v>
      </c>
      <c r="T98" s="6" t="b">
        <f t="shared" si="26"/>
        <v>0</v>
      </c>
      <c r="U98" s="6">
        <v>2E-3</v>
      </c>
      <c r="V98" s="6" t="b">
        <f t="shared" si="27"/>
        <v>0</v>
      </c>
      <c r="W98" s="6">
        <v>109</v>
      </c>
      <c r="X98" s="6" t="b">
        <f t="shared" si="28"/>
        <v>0</v>
      </c>
      <c r="Y98" s="6">
        <v>55</v>
      </c>
      <c r="Z98" s="6" t="b">
        <f t="shared" si="29"/>
        <v>0</v>
      </c>
      <c r="AA98" s="6">
        <v>87.724000000000004</v>
      </c>
      <c r="AB98" s="6" t="b">
        <f t="shared" si="30"/>
        <v>0</v>
      </c>
      <c r="AC98" s="6">
        <v>27.88</v>
      </c>
      <c r="AD98" s="8" t="b">
        <f t="shared" si="31"/>
        <v>0</v>
      </c>
      <c r="AE98" s="8">
        <f t="shared" si="32"/>
        <v>59.844000000000008</v>
      </c>
      <c r="AF98" t="b">
        <f t="shared" si="33"/>
        <v>0</v>
      </c>
    </row>
    <row r="99" spans="1:32" x14ac:dyDescent="0.3">
      <c r="A99" s="6">
        <v>330</v>
      </c>
      <c r="B99" s="6" t="b">
        <f t="shared" si="17"/>
        <v>0</v>
      </c>
      <c r="C99" s="6">
        <v>5</v>
      </c>
      <c r="D99" s="6" t="b">
        <f t="shared" si="18"/>
        <v>0</v>
      </c>
      <c r="E99" s="6">
        <v>7</v>
      </c>
      <c r="F99" s="6" t="b">
        <f t="shared" si="19"/>
        <v>0</v>
      </c>
      <c r="G99" s="6">
        <v>0</v>
      </c>
      <c r="H99" s="6" t="b">
        <f t="shared" si="20"/>
        <v>0</v>
      </c>
      <c r="I99" s="6">
        <v>5</v>
      </c>
      <c r="J99" s="6" t="b">
        <f t="shared" si="21"/>
        <v>0</v>
      </c>
      <c r="K99" s="6">
        <v>2.94</v>
      </c>
      <c r="L99" s="6" t="b">
        <f t="shared" si="22"/>
        <v>0</v>
      </c>
      <c r="M99" s="6">
        <v>117</v>
      </c>
      <c r="N99" s="6" t="b">
        <f t="shared" si="23"/>
        <v>0</v>
      </c>
      <c r="O99" s="6">
        <v>21</v>
      </c>
      <c r="P99" s="6" t="b">
        <f t="shared" si="24"/>
        <v>0</v>
      </c>
      <c r="Q99" s="6">
        <v>81</v>
      </c>
      <c r="R99" s="6" t="b">
        <f t="shared" si="25"/>
        <v>0</v>
      </c>
      <c r="S99" s="6">
        <v>22</v>
      </c>
      <c r="T99" s="6" t="b">
        <f t="shared" si="26"/>
        <v>0</v>
      </c>
      <c r="U99" s="6">
        <v>3.2000000000000002E-3</v>
      </c>
      <c r="V99" s="6" t="b">
        <f t="shared" si="27"/>
        <v>0</v>
      </c>
      <c r="W99" s="6">
        <v>0</v>
      </c>
      <c r="X99" s="6" t="b">
        <f t="shared" si="28"/>
        <v>1</v>
      </c>
      <c r="Y99" s="6">
        <v>0</v>
      </c>
      <c r="Z99" s="6" t="b">
        <f t="shared" si="29"/>
        <v>0</v>
      </c>
      <c r="AA99" s="6">
        <v>11.42</v>
      </c>
      <c r="AB99" s="6" t="b">
        <f t="shared" si="30"/>
        <v>0</v>
      </c>
      <c r="AC99" s="6">
        <v>4.9020000000000001</v>
      </c>
      <c r="AD99" s="8" t="b">
        <f t="shared" si="31"/>
        <v>0</v>
      </c>
      <c r="AE99" s="8">
        <f t="shared" si="32"/>
        <v>6.5179999999999998</v>
      </c>
      <c r="AF99" t="b">
        <f t="shared" si="33"/>
        <v>0</v>
      </c>
    </row>
    <row r="100" spans="1:32" x14ac:dyDescent="0.3">
      <c r="A100" s="6">
        <v>300</v>
      </c>
      <c r="B100" s="6" t="b">
        <f t="shared" si="17"/>
        <v>0</v>
      </c>
      <c r="C100" s="6">
        <v>3</v>
      </c>
      <c r="D100" s="6" t="b">
        <f t="shared" si="18"/>
        <v>0</v>
      </c>
      <c r="E100" s="6">
        <v>10</v>
      </c>
      <c r="F100" s="6" t="b">
        <f t="shared" si="19"/>
        <v>0</v>
      </c>
      <c r="G100" s="6">
        <v>149</v>
      </c>
      <c r="H100" s="6" t="b">
        <f t="shared" si="20"/>
        <v>0</v>
      </c>
      <c r="I100" s="6">
        <v>6.3</v>
      </c>
      <c r="J100" s="6" t="b">
        <f t="shared" si="21"/>
        <v>0</v>
      </c>
      <c r="K100" s="6">
        <v>2.94</v>
      </c>
      <c r="L100" s="6" t="b">
        <f t="shared" si="22"/>
        <v>0</v>
      </c>
      <c r="M100" s="6">
        <v>236</v>
      </c>
      <c r="N100" s="6" t="b">
        <f t="shared" si="23"/>
        <v>0</v>
      </c>
      <c r="O100" s="6">
        <v>10</v>
      </c>
      <c r="P100" s="6" t="b">
        <f t="shared" si="24"/>
        <v>0</v>
      </c>
      <c r="Q100" s="6">
        <v>73</v>
      </c>
      <c r="R100" s="6" t="b">
        <f t="shared" si="25"/>
        <v>0</v>
      </c>
      <c r="S100" s="6">
        <v>18</v>
      </c>
      <c r="T100" s="6" t="b">
        <f t="shared" si="26"/>
        <v>0</v>
      </c>
      <c r="U100" s="6">
        <v>2E-3</v>
      </c>
      <c r="V100" s="6" t="b">
        <f t="shared" si="27"/>
        <v>0</v>
      </c>
      <c r="W100" s="6">
        <v>95</v>
      </c>
      <c r="X100" s="6" t="b">
        <f t="shared" si="28"/>
        <v>0</v>
      </c>
      <c r="Y100" s="6">
        <v>54</v>
      </c>
      <c r="Z100" s="6" t="b">
        <f t="shared" si="29"/>
        <v>0</v>
      </c>
      <c r="AA100" s="6">
        <v>67.581000000000003</v>
      </c>
      <c r="AB100" s="6" t="b">
        <f t="shared" si="30"/>
        <v>0</v>
      </c>
      <c r="AC100" s="6">
        <v>4.6340000000000003</v>
      </c>
      <c r="AD100" s="8" t="b">
        <f t="shared" si="31"/>
        <v>0</v>
      </c>
      <c r="AE100" s="8">
        <f t="shared" si="32"/>
        <v>62.947000000000003</v>
      </c>
      <c r="AF100" t="b">
        <f t="shared" si="33"/>
        <v>0</v>
      </c>
    </row>
    <row r="101" spans="1:32" x14ac:dyDescent="0.3">
      <c r="A101" s="6">
        <v>238</v>
      </c>
      <c r="B101" s="6" t="b">
        <f t="shared" si="17"/>
        <v>0</v>
      </c>
      <c r="C101" s="6">
        <v>3</v>
      </c>
      <c r="D101" s="6" t="b">
        <f t="shared" si="18"/>
        <v>0</v>
      </c>
      <c r="E101" s="6">
        <v>5</v>
      </c>
      <c r="F101" s="6" t="b">
        <f t="shared" si="19"/>
        <v>0</v>
      </c>
      <c r="G101" s="6">
        <v>170</v>
      </c>
      <c r="H101" s="6" t="b">
        <f t="shared" si="20"/>
        <v>0</v>
      </c>
      <c r="I101" s="6">
        <v>4.5999999999999996</v>
      </c>
      <c r="J101" s="6" t="b">
        <f t="shared" si="21"/>
        <v>0</v>
      </c>
      <c r="K101" s="6">
        <v>2.94</v>
      </c>
      <c r="L101" s="6" t="b">
        <f t="shared" si="22"/>
        <v>0</v>
      </c>
      <c r="M101" s="6">
        <v>0</v>
      </c>
      <c r="N101" s="6" t="b">
        <f t="shared" si="23"/>
        <v>0</v>
      </c>
      <c r="O101" s="6">
        <v>15</v>
      </c>
      <c r="P101" s="6" t="b">
        <f t="shared" si="24"/>
        <v>0</v>
      </c>
      <c r="Q101" s="6">
        <v>91</v>
      </c>
      <c r="R101" s="6" t="b">
        <f t="shared" si="25"/>
        <v>0</v>
      </c>
      <c r="S101" s="6">
        <v>11</v>
      </c>
      <c r="T101" s="6" t="b">
        <f t="shared" si="26"/>
        <v>0</v>
      </c>
      <c r="U101" s="6">
        <v>4.4000000000000003E-3</v>
      </c>
      <c r="V101" s="6" t="b">
        <f t="shared" si="27"/>
        <v>0</v>
      </c>
      <c r="W101" s="6">
        <v>73</v>
      </c>
      <c r="X101" s="6" t="b">
        <f t="shared" si="28"/>
        <v>0</v>
      </c>
      <c r="Y101" s="6">
        <v>97</v>
      </c>
      <c r="Z101" s="6" t="b">
        <f t="shared" si="29"/>
        <v>0</v>
      </c>
      <c r="AA101" s="6">
        <v>16.135000000000002</v>
      </c>
      <c r="AB101" s="6" t="b">
        <f t="shared" si="30"/>
        <v>0</v>
      </c>
      <c r="AC101" s="6">
        <v>14.263999999999999</v>
      </c>
      <c r="AD101" s="8" t="b">
        <f t="shared" si="31"/>
        <v>0</v>
      </c>
      <c r="AE101" s="8">
        <f t="shared" si="32"/>
        <v>1.8710000000000022</v>
      </c>
      <c r="AF101" t="b">
        <f t="shared" si="33"/>
        <v>0</v>
      </c>
    </row>
    <row r="102" spans="1:32" x14ac:dyDescent="0.3">
      <c r="A102" s="6">
        <v>300</v>
      </c>
      <c r="B102" s="6" t="b">
        <f t="shared" si="17"/>
        <v>0</v>
      </c>
      <c r="C102" s="6">
        <v>3</v>
      </c>
      <c r="D102" s="6" t="b">
        <f t="shared" si="18"/>
        <v>0</v>
      </c>
      <c r="E102" s="6">
        <v>11</v>
      </c>
      <c r="F102" s="6" t="b">
        <f t="shared" si="19"/>
        <v>0</v>
      </c>
      <c r="G102" s="6">
        <v>160</v>
      </c>
      <c r="H102" s="6" t="b">
        <f t="shared" si="20"/>
        <v>0</v>
      </c>
      <c r="I102" s="6">
        <v>4</v>
      </c>
      <c r="J102" s="6" t="b">
        <f t="shared" si="21"/>
        <v>0</v>
      </c>
      <c r="K102" s="6">
        <v>2.94</v>
      </c>
      <c r="L102" s="6" t="b">
        <f t="shared" si="22"/>
        <v>0</v>
      </c>
      <c r="M102" s="6">
        <v>8</v>
      </c>
      <c r="N102" s="6" t="b">
        <f t="shared" si="23"/>
        <v>0</v>
      </c>
      <c r="O102" s="6">
        <v>10</v>
      </c>
      <c r="P102" s="6" t="b">
        <f t="shared" si="24"/>
        <v>0</v>
      </c>
      <c r="Q102" s="6">
        <v>73</v>
      </c>
      <c r="R102" s="6" t="b">
        <f t="shared" si="25"/>
        <v>0</v>
      </c>
      <c r="S102" s="6">
        <v>18</v>
      </c>
      <c r="T102" s="6" t="b">
        <f t="shared" si="26"/>
        <v>0</v>
      </c>
      <c r="U102" s="6">
        <v>2.2000000000000001E-3</v>
      </c>
      <c r="V102" s="6" t="b">
        <f t="shared" si="27"/>
        <v>0</v>
      </c>
      <c r="W102" s="6">
        <v>98</v>
      </c>
      <c r="X102" s="6" t="b">
        <f t="shared" si="28"/>
        <v>0</v>
      </c>
      <c r="Y102" s="6">
        <v>62</v>
      </c>
      <c r="Z102" s="6" t="b">
        <f t="shared" si="29"/>
        <v>0</v>
      </c>
      <c r="AA102" s="6">
        <v>111.973</v>
      </c>
      <c r="AB102" s="6" t="b">
        <f t="shared" si="30"/>
        <v>0</v>
      </c>
      <c r="AC102" s="6">
        <v>55.054000000000002</v>
      </c>
      <c r="AD102" s="8" t="b">
        <f t="shared" si="31"/>
        <v>0</v>
      </c>
      <c r="AE102" s="8">
        <f t="shared" si="32"/>
        <v>56.918999999999997</v>
      </c>
      <c r="AF102" t="b">
        <f t="shared" si="33"/>
        <v>0</v>
      </c>
    </row>
    <row r="103" spans="1:32" x14ac:dyDescent="0.3">
      <c r="A103" s="6">
        <v>290</v>
      </c>
      <c r="B103" s="6" t="b">
        <f t="shared" si="17"/>
        <v>0</v>
      </c>
      <c r="C103" s="6">
        <v>3</v>
      </c>
      <c r="D103" s="6" t="b">
        <f t="shared" si="18"/>
        <v>0</v>
      </c>
      <c r="E103" s="6">
        <v>5</v>
      </c>
      <c r="F103" s="6" t="b">
        <f t="shared" si="19"/>
        <v>0</v>
      </c>
      <c r="G103" s="6">
        <v>150</v>
      </c>
      <c r="H103" s="6" t="b">
        <f t="shared" si="20"/>
        <v>0</v>
      </c>
      <c r="I103" s="6">
        <v>7</v>
      </c>
      <c r="J103" s="6" t="b">
        <f t="shared" si="21"/>
        <v>0</v>
      </c>
      <c r="K103" s="6">
        <v>2.94</v>
      </c>
      <c r="L103" s="6" t="b">
        <f t="shared" si="22"/>
        <v>0</v>
      </c>
      <c r="M103" s="6">
        <v>223</v>
      </c>
      <c r="N103" s="6" t="b">
        <f t="shared" si="23"/>
        <v>0</v>
      </c>
      <c r="O103" s="6">
        <v>5</v>
      </c>
      <c r="P103" s="6" t="b">
        <f t="shared" si="24"/>
        <v>0</v>
      </c>
      <c r="Q103" s="6">
        <v>55</v>
      </c>
      <c r="R103" s="6" t="b">
        <f t="shared" si="25"/>
        <v>0</v>
      </c>
      <c r="S103" s="6">
        <v>13</v>
      </c>
      <c r="T103" s="6" t="b">
        <f t="shared" si="26"/>
        <v>0</v>
      </c>
      <c r="U103" s="6">
        <v>1.9E-3</v>
      </c>
      <c r="V103" s="6" t="b">
        <f t="shared" si="27"/>
        <v>0</v>
      </c>
      <c r="W103" s="6">
        <v>101</v>
      </c>
      <c r="X103" s="6" t="b">
        <f t="shared" si="28"/>
        <v>0</v>
      </c>
      <c r="Y103" s="6">
        <v>49</v>
      </c>
      <c r="Z103" s="6" t="b">
        <f t="shared" si="29"/>
        <v>0</v>
      </c>
      <c r="AA103" s="6">
        <v>65.772000000000006</v>
      </c>
      <c r="AB103" s="6" t="b">
        <f t="shared" si="30"/>
        <v>0</v>
      </c>
      <c r="AC103" s="6">
        <v>7.47</v>
      </c>
      <c r="AD103" s="8" t="b">
        <f t="shared" si="31"/>
        <v>0</v>
      </c>
      <c r="AE103" s="8">
        <f t="shared" si="32"/>
        <v>58.302000000000007</v>
      </c>
      <c r="AF103" t="b">
        <f t="shared" si="33"/>
        <v>0</v>
      </c>
    </row>
    <row r="104" spans="1:32" x14ac:dyDescent="0.3">
      <c r="A104" s="6">
        <v>304</v>
      </c>
      <c r="B104" s="6" t="b">
        <f t="shared" si="17"/>
        <v>0</v>
      </c>
      <c r="C104" s="6">
        <v>3</v>
      </c>
      <c r="D104" s="6" t="b">
        <f t="shared" si="18"/>
        <v>0</v>
      </c>
      <c r="E104" s="6">
        <v>6</v>
      </c>
      <c r="F104" s="6" t="b">
        <f t="shared" si="19"/>
        <v>0</v>
      </c>
      <c r="G104" s="6">
        <v>165</v>
      </c>
      <c r="H104" s="6" t="b">
        <f t="shared" si="20"/>
        <v>0</v>
      </c>
      <c r="I104" s="6">
        <v>3.4</v>
      </c>
      <c r="J104" s="6" t="b">
        <f t="shared" si="21"/>
        <v>0</v>
      </c>
      <c r="K104" s="6">
        <v>2.94</v>
      </c>
      <c r="L104" s="6" t="b">
        <f t="shared" si="22"/>
        <v>0</v>
      </c>
      <c r="M104" s="6">
        <v>78</v>
      </c>
      <c r="N104" s="6" t="b">
        <f t="shared" si="23"/>
        <v>0</v>
      </c>
      <c r="O104" s="6">
        <v>2</v>
      </c>
      <c r="P104" s="6" t="b">
        <f t="shared" si="24"/>
        <v>0</v>
      </c>
      <c r="Q104" s="6">
        <v>57</v>
      </c>
      <c r="R104" s="6" t="b">
        <f t="shared" si="25"/>
        <v>0</v>
      </c>
      <c r="S104" s="6">
        <v>10</v>
      </c>
      <c r="T104" s="6" t="b">
        <f t="shared" si="26"/>
        <v>0</v>
      </c>
      <c r="U104" s="6">
        <v>1.2999999999999999E-3</v>
      </c>
      <c r="V104" s="6" t="b">
        <f t="shared" si="27"/>
        <v>0</v>
      </c>
      <c r="W104" s="6">
        <v>164</v>
      </c>
      <c r="X104" s="6" t="b">
        <f t="shared" si="28"/>
        <v>1</v>
      </c>
      <c r="Y104" s="6">
        <v>1</v>
      </c>
      <c r="Z104" s="6" t="b">
        <f t="shared" si="29"/>
        <v>0</v>
      </c>
      <c r="AA104" s="6">
        <v>174.541</v>
      </c>
      <c r="AB104" s="6" t="b">
        <f t="shared" si="30"/>
        <v>0</v>
      </c>
      <c r="AC104" s="6">
        <v>7.1999999999999995E-2</v>
      </c>
      <c r="AD104" s="8" t="b">
        <f t="shared" si="31"/>
        <v>0</v>
      </c>
      <c r="AE104" s="8">
        <f t="shared" si="32"/>
        <v>174.46899999999999</v>
      </c>
      <c r="AF104" t="b">
        <f t="shared" si="33"/>
        <v>1</v>
      </c>
    </row>
    <row r="105" spans="1:32" x14ac:dyDescent="0.3">
      <c r="A105" s="6">
        <v>266</v>
      </c>
      <c r="B105" s="6" t="b">
        <f t="shared" si="17"/>
        <v>0</v>
      </c>
      <c r="C105" s="6">
        <v>3</v>
      </c>
      <c r="D105" s="6" t="b">
        <f t="shared" si="18"/>
        <v>0</v>
      </c>
      <c r="E105" s="6">
        <v>7</v>
      </c>
      <c r="F105" s="6" t="b">
        <f t="shared" si="19"/>
        <v>0</v>
      </c>
      <c r="G105" s="6">
        <v>165</v>
      </c>
      <c r="H105" s="6" t="b">
        <f t="shared" si="20"/>
        <v>0</v>
      </c>
      <c r="I105" s="6">
        <v>2.7</v>
      </c>
      <c r="J105" s="6" t="b">
        <f t="shared" si="21"/>
        <v>0</v>
      </c>
      <c r="K105" s="6">
        <v>2.94</v>
      </c>
      <c r="L105" s="6" t="b">
        <f t="shared" si="22"/>
        <v>0</v>
      </c>
      <c r="M105" s="6">
        <v>64</v>
      </c>
      <c r="N105" s="6" t="b">
        <f t="shared" si="23"/>
        <v>0</v>
      </c>
      <c r="O105" s="6">
        <v>3</v>
      </c>
      <c r="P105" s="6" t="b">
        <f t="shared" si="24"/>
        <v>0</v>
      </c>
      <c r="Q105" s="6">
        <v>32</v>
      </c>
      <c r="R105" s="6" t="b">
        <f t="shared" si="25"/>
        <v>0</v>
      </c>
      <c r="S105" s="6">
        <v>12</v>
      </c>
      <c r="T105" s="6" t="b">
        <f t="shared" si="26"/>
        <v>0</v>
      </c>
      <c r="U105" s="6">
        <v>2.1000000000000003E-3</v>
      </c>
      <c r="V105" s="6" t="b">
        <f t="shared" si="27"/>
        <v>0</v>
      </c>
      <c r="W105" s="6">
        <v>61</v>
      </c>
      <c r="X105" s="6" t="b">
        <f t="shared" si="28"/>
        <v>0</v>
      </c>
      <c r="Y105" s="6">
        <v>104</v>
      </c>
      <c r="Z105" s="6" t="b">
        <f t="shared" si="29"/>
        <v>0</v>
      </c>
      <c r="AA105" s="6">
        <v>19.061</v>
      </c>
      <c r="AB105" s="6" t="b">
        <f t="shared" si="30"/>
        <v>0</v>
      </c>
      <c r="AC105" s="6">
        <v>10.816000000000001</v>
      </c>
      <c r="AD105" s="8" t="b">
        <f t="shared" si="31"/>
        <v>0</v>
      </c>
      <c r="AE105" s="8">
        <f t="shared" si="32"/>
        <v>8.2449999999999992</v>
      </c>
      <c r="AF105" t="b">
        <f t="shared" si="33"/>
        <v>0</v>
      </c>
    </row>
    <row r="106" spans="1:32" x14ac:dyDescent="0.3">
      <c r="A106" s="6">
        <v>320</v>
      </c>
      <c r="B106" s="6" t="b">
        <f t="shared" si="17"/>
        <v>0</v>
      </c>
      <c r="C106" s="6">
        <v>3</v>
      </c>
      <c r="D106" s="6" t="b">
        <f t="shared" si="18"/>
        <v>0</v>
      </c>
      <c r="E106" s="6">
        <v>7</v>
      </c>
      <c r="F106" s="6" t="b">
        <f t="shared" si="19"/>
        <v>0</v>
      </c>
      <c r="G106" s="6">
        <v>155</v>
      </c>
      <c r="H106" s="6" t="b">
        <f t="shared" si="20"/>
        <v>0</v>
      </c>
      <c r="I106" s="6">
        <v>2.8</v>
      </c>
      <c r="J106" s="6" t="b">
        <f t="shared" si="21"/>
        <v>0</v>
      </c>
      <c r="K106" s="6">
        <v>2.94</v>
      </c>
      <c r="L106" s="6" t="b">
        <f t="shared" si="22"/>
        <v>0</v>
      </c>
      <c r="M106" s="6">
        <v>346</v>
      </c>
      <c r="N106" s="6" t="b">
        <f t="shared" si="23"/>
        <v>0</v>
      </c>
      <c r="O106" s="6">
        <v>15</v>
      </c>
      <c r="P106" s="6" t="b">
        <f t="shared" si="24"/>
        <v>0</v>
      </c>
      <c r="Q106" s="6">
        <v>150</v>
      </c>
      <c r="R106" s="6" t="b">
        <f t="shared" si="25"/>
        <v>0</v>
      </c>
      <c r="S106" s="6">
        <v>9</v>
      </c>
      <c r="T106" s="6" t="b">
        <f t="shared" si="26"/>
        <v>0</v>
      </c>
      <c r="U106" s="6">
        <v>4.0000000000000001E-3</v>
      </c>
      <c r="V106" s="6" t="b">
        <f t="shared" si="27"/>
        <v>0</v>
      </c>
      <c r="W106" s="6">
        <v>79</v>
      </c>
      <c r="X106" s="6" t="b">
        <f t="shared" si="28"/>
        <v>0</v>
      </c>
      <c r="Y106" s="6">
        <v>76</v>
      </c>
      <c r="Z106" s="6" t="b">
        <f t="shared" si="29"/>
        <v>0</v>
      </c>
      <c r="AA106" s="6">
        <v>33.628999999999998</v>
      </c>
      <c r="AB106" s="6" t="b">
        <f t="shared" si="30"/>
        <v>0</v>
      </c>
      <c r="AC106" s="6">
        <v>18.663</v>
      </c>
      <c r="AD106" s="8" t="b">
        <f t="shared" si="31"/>
        <v>0</v>
      </c>
      <c r="AE106" s="8">
        <f t="shared" si="32"/>
        <v>14.965999999999998</v>
      </c>
      <c r="AF106" t="b">
        <f t="shared" si="33"/>
        <v>0</v>
      </c>
    </row>
    <row r="107" spans="1:32" x14ac:dyDescent="0.3">
      <c r="A107" s="6">
        <v>501</v>
      </c>
      <c r="B107" s="6" t="b">
        <f t="shared" si="17"/>
        <v>0</v>
      </c>
      <c r="C107" s="6">
        <v>3</v>
      </c>
      <c r="D107" s="6" t="b">
        <f t="shared" si="18"/>
        <v>0</v>
      </c>
      <c r="E107" s="6">
        <v>6</v>
      </c>
      <c r="F107" s="6" t="b">
        <f t="shared" si="19"/>
        <v>0</v>
      </c>
      <c r="G107" s="6">
        <v>0</v>
      </c>
      <c r="H107" s="6" t="b">
        <f t="shared" si="20"/>
        <v>0</v>
      </c>
      <c r="I107" s="6">
        <v>4.7</v>
      </c>
      <c r="J107" s="6" t="b">
        <f t="shared" si="21"/>
        <v>0</v>
      </c>
      <c r="K107" s="6">
        <v>2.94</v>
      </c>
      <c r="L107" s="6" t="b">
        <f t="shared" si="22"/>
        <v>0</v>
      </c>
      <c r="M107" s="6">
        <v>0</v>
      </c>
      <c r="N107" s="6" t="b">
        <f t="shared" si="23"/>
        <v>0</v>
      </c>
      <c r="O107" s="6">
        <v>15</v>
      </c>
      <c r="P107" s="6" t="b">
        <f t="shared" si="24"/>
        <v>0</v>
      </c>
      <c r="Q107" s="6">
        <v>87</v>
      </c>
      <c r="R107" s="6" t="b">
        <f t="shared" si="25"/>
        <v>0</v>
      </c>
      <c r="S107" s="6">
        <v>13</v>
      </c>
      <c r="T107" s="6" t="b">
        <f t="shared" si="26"/>
        <v>0</v>
      </c>
      <c r="U107" s="6">
        <v>2E-3</v>
      </c>
      <c r="V107" s="6" t="b">
        <f t="shared" si="27"/>
        <v>0</v>
      </c>
      <c r="W107" s="6">
        <v>0</v>
      </c>
      <c r="X107" s="6" t="b">
        <f t="shared" si="28"/>
        <v>1</v>
      </c>
      <c r="Y107" s="6">
        <v>0</v>
      </c>
      <c r="Z107" s="6" t="b">
        <f t="shared" si="29"/>
        <v>0</v>
      </c>
      <c r="AA107" s="6">
        <v>39.29</v>
      </c>
      <c r="AB107" s="6" t="b">
        <f t="shared" si="30"/>
        <v>0</v>
      </c>
      <c r="AC107" s="6">
        <v>31.132999999999999</v>
      </c>
      <c r="AD107" s="8" t="b">
        <f t="shared" si="31"/>
        <v>0</v>
      </c>
      <c r="AE107" s="8">
        <f t="shared" si="32"/>
        <v>8.157</v>
      </c>
      <c r="AF107" t="b">
        <f t="shared" si="33"/>
        <v>0</v>
      </c>
    </row>
    <row r="108" spans="1:32" x14ac:dyDescent="0.3">
      <c r="A108" s="6">
        <v>620</v>
      </c>
      <c r="B108" s="6" t="b">
        <f t="shared" si="17"/>
        <v>0</v>
      </c>
      <c r="C108" s="6">
        <v>3</v>
      </c>
      <c r="D108" s="6" t="b">
        <f t="shared" si="18"/>
        <v>0</v>
      </c>
      <c r="E108" s="6">
        <v>6</v>
      </c>
      <c r="F108" s="6" t="b">
        <f t="shared" si="19"/>
        <v>0</v>
      </c>
      <c r="G108" s="6">
        <v>158</v>
      </c>
      <c r="H108" s="6" t="b">
        <f t="shared" si="20"/>
        <v>0</v>
      </c>
      <c r="I108" s="6">
        <v>3.5</v>
      </c>
      <c r="J108" s="6" t="b">
        <f t="shared" si="21"/>
        <v>0</v>
      </c>
      <c r="K108" s="6">
        <v>2.94</v>
      </c>
      <c r="L108" s="6" t="b">
        <f t="shared" si="22"/>
        <v>0</v>
      </c>
      <c r="M108" s="6">
        <v>155</v>
      </c>
      <c r="N108" s="6" t="b">
        <f t="shared" si="23"/>
        <v>0</v>
      </c>
      <c r="O108" s="6">
        <v>10</v>
      </c>
      <c r="P108" s="6" t="b">
        <f t="shared" si="24"/>
        <v>0</v>
      </c>
      <c r="Q108" s="6">
        <v>86</v>
      </c>
      <c r="R108" s="6" t="b">
        <f t="shared" si="25"/>
        <v>0</v>
      </c>
      <c r="S108" s="6">
        <v>12</v>
      </c>
      <c r="T108" s="6" t="b">
        <f t="shared" si="26"/>
        <v>0</v>
      </c>
      <c r="U108" s="6">
        <v>2.5999999999999999E-3</v>
      </c>
      <c r="V108" s="6" t="b">
        <f t="shared" si="27"/>
        <v>0</v>
      </c>
      <c r="W108" s="6">
        <v>50</v>
      </c>
      <c r="X108" s="6" t="b">
        <f t="shared" si="28"/>
        <v>0</v>
      </c>
      <c r="Y108" s="6">
        <v>108</v>
      </c>
      <c r="Z108" s="6" t="b">
        <f t="shared" si="29"/>
        <v>0</v>
      </c>
      <c r="AA108" s="6">
        <v>50.213999999999999</v>
      </c>
      <c r="AB108" s="6" t="b">
        <f t="shared" si="30"/>
        <v>0</v>
      </c>
      <c r="AC108" s="6">
        <v>37.171999999999997</v>
      </c>
      <c r="AD108" s="8" t="b">
        <f t="shared" si="31"/>
        <v>0</v>
      </c>
      <c r="AE108" s="8">
        <f t="shared" si="32"/>
        <v>13.042000000000002</v>
      </c>
      <c r="AF108" t="b">
        <f t="shared" si="33"/>
        <v>0</v>
      </c>
    </row>
    <row r="109" spans="1:32" x14ac:dyDescent="0.3">
      <c r="A109" s="6">
        <v>490</v>
      </c>
      <c r="B109" s="6" t="b">
        <f t="shared" si="17"/>
        <v>0</v>
      </c>
      <c r="C109" s="6">
        <v>4</v>
      </c>
      <c r="D109" s="6" t="b">
        <f t="shared" si="18"/>
        <v>0</v>
      </c>
      <c r="E109" s="6">
        <v>4</v>
      </c>
      <c r="F109" s="6" t="b">
        <f t="shared" si="19"/>
        <v>0</v>
      </c>
      <c r="G109" s="6">
        <v>158</v>
      </c>
      <c r="H109" s="6" t="b">
        <f t="shared" si="20"/>
        <v>0</v>
      </c>
      <c r="I109" s="6">
        <v>2.7</v>
      </c>
      <c r="J109" s="6" t="b">
        <f t="shared" si="21"/>
        <v>0</v>
      </c>
      <c r="K109" s="6">
        <v>2.94</v>
      </c>
      <c r="L109" s="6" t="b">
        <f t="shared" si="22"/>
        <v>0</v>
      </c>
      <c r="M109" s="6">
        <v>245</v>
      </c>
      <c r="N109" s="6" t="b">
        <f t="shared" si="23"/>
        <v>0</v>
      </c>
      <c r="O109" s="6">
        <v>1</v>
      </c>
      <c r="P109" s="6" t="b">
        <f t="shared" si="24"/>
        <v>0</v>
      </c>
      <c r="Q109" s="6">
        <v>46</v>
      </c>
      <c r="R109" s="6" t="b">
        <f t="shared" si="25"/>
        <v>0</v>
      </c>
      <c r="S109" s="6">
        <v>9</v>
      </c>
      <c r="T109" s="6" t="b">
        <f t="shared" si="26"/>
        <v>0</v>
      </c>
      <c r="U109" s="6">
        <v>5.9999999999999995E-4</v>
      </c>
      <c r="V109" s="6" t="b">
        <f t="shared" si="27"/>
        <v>0</v>
      </c>
      <c r="W109" s="6">
        <v>43</v>
      </c>
      <c r="X109" s="6" t="b">
        <f t="shared" si="28"/>
        <v>0</v>
      </c>
      <c r="Y109" s="6">
        <v>115</v>
      </c>
      <c r="Z109" s="6" t="b">
        <f t="shared" si="29"/>
        <v>0</v>
      </c>
      <c r="AA109" s="6">
        <v>25.78</v>
      </c>
      <c r="AB109" s="6" t="b">
        <f t="shared" si="30"/>
        <v>0</v>
      </c>
      <c r="AC109" s="6">
        <v>20.192</v>
      </c>
      <c r="AD109" s="8" t="b">
        <f t="shared" si="31"/>
        <v>0</v>
      </c>
      <c r="AE109" s="8">
        <f t="shared" si="32"/>
        <v>5.588000000000001</v>
      </c>
      <c r="AF109" t="b">
        <f t="shared" si="33"/>
        <v>0</v>
      </c>
    </row>
    <row r="110" spans="1:32" x14ac:dyDescent="0.3">
      <c r="A110" s="6">
        <v>513</v>
      </c>
      <c r="B110" s="6" t="b">
        <f t="shared" si="17"/>
        <v>0</v>
      </c>
      <c r="C110" s="6">
        <v>5</v>
      </c>
      <c r="D110" s="6" t="b">
        <f t="shared" si="18"/>
        <v>0</v>
      </c>
      <c r="E110" s="6">
        <v>2</v>
      </c>
      <c r="F110" s="6" t="b">
        <f t="shared" si="19"/>
        <v>0</v>
      </c>
      <c r="G110" s="6">
        <v>160</v>
      </c>
      <c r="H110" s="6" t="b">
        <f t="shared" si="20"/>
        <v>0</v>
      </c>
      <c r="I110" s="6">
        <v>4.7</v>
      </c>
      <c r="J110" s="6" t="b">
        <f t="shared" si="21"/>
        <v>0</v>
      </c>
      <c r="K110" s="6">
        <v>2.94</v>
      </c>
      <c r="L110" s="6" t="b">
        <f t="shared" si="22"/>
        <v>0</v>
      </c>
      <c r="M110" s="6">
        <v>291</v>
      </c>
      <c r="N110" s="6" t="b">
        <f t="shared" si="23"/>
        <v>0</v>
      </c>
      <c r="O110" s="6">
        <v>7</v>
      </c>
      <c r="P110" s="6" t="b">
        <f t="shared" si="24"/>
        <v>0</v>
      </c>
      <c r="Q110" s="6">
        <v>66</v>
      </c>
      <c r="R110" s="6" t="b">
        <f t="shared" si="25"/>
        <v>0</v>
      </c>
      <c r="S110" s="6">
        <v>10</v>
      </c>
      <c r="T110" s="6" t="b">
        <f t="shared" si="26"/>
        <v>0</v>
      </c>
      <c r="U110" s="6">
        <v>3.0000000000000001E-3</v>
      </c>
      <c r="V110" s="6" t="b">
        <f t="shared" si="27"/>
        <v>0</v>
      </c>
      <c r="W110" s="6">
        <v>74</v>
      </c>
      <c r="X110" s="6" t="b">
        <f t="shared" si="28"/>
        <v>0</v>
      </c>
      <c r="Y110" s="6">
        <v>86</v>
      </c>
      <c r="Z110" s="6" t="b">
        <f t="shared" si="29"/>
        <v>0</v>
      </c>
      <c r="AA110" s="6">
        <v>108.813</v>
      </c>
      <c r="AB110" s="6" t="b">
        <f t="shared" si="30"/>
        <v>0</v>
      </c>
      <c r="AC110" s="6">
        <v>43.259</v>
      </c>
      <c r="AD110" s="8" t="b">
        <f t="shared" si="31"/>
        <v>0</v>
      </c>
      <c r="AE110" s="8">
        <f t="shared" si="32"/>
        <v>65.554000000000002</v>
      </c>
      <c r="AF110" t="b">
        <f t="shared" si="33"/>
        <v>0</v>
      </c>
    </row>
    <row r="111" spans="1:32" x14ac:dyDescent="0.3">
      <c r="A111" s="6">
        <v>420</v>
      </c>
      <c r="B111" s="6" t="b">
        <f t="shared" si="17"/>
        <v>0</v>
      </c>
      <c r="C111" s="6">
        <v>3</v>
      </c>
      <c r="D111" s="6" t="b">
        <f t="shared" si="18"/>
        <v>0</v>
      </c>
      <c r="E111" s="6">
        <v>8</v>
      </c>
      <c r="F111" s="6" t="b">
        <f t="shared" si="19"/>
        <v>0</v>
      </c>
      <c r="G111" s="6">
        <v>157</v>
      </c>
      <c r="H111" s="6" t="b">
        <f t="shared" si="20"/>
        <v>0</v>
      </c>
      <c r="I111" s="6">
        <v>2</v>
      </c>
      <c r="J111" s="6" t="b">
        <f t="shared" si="21"/>
        <v>0</v>
      </c>
      <c r="K111" s="6">
        <v>2.94</v>
      </c>
      <c r="L111" s="6" t="b">
        <f t="shared" si="22"/>
        <v>0</v>
      </c>
      <c r="M111" s="6">
        <v>137</v>
      </c>
      <c r="N111" s="6" t="b">
        <f t="shared" si="23"/>
        <v>0</v>
      </c>
      <c r="O111" s="6">
        <v>15</v>
      </c>
      <c r="P111" s="6" t="b">
        <f t="shared" si="24"/>
        <v>0</v>
      </c>
      <c r="Q111" s="6">
        <v>107</v>
      </c>
      <c r="R111" s="6" t="b">
        <f t="shared" si="25"/>
        <v>0</v>
      </c>
      <c r="S111" s="6">
        <v>12</v>
      </c>
      <c r="T111" s="6" t="b">
        <f t="shared" si="26"/>
        <v>0</v>
      </c>
      <c r="U111" s="6">
        <v>3.3E-3</v>
      </c>
      <c r="V111" s="6" t="b">
        <f t="shared" si="27"/>
        <v>0</v>
      </c>
      <c r="W111" s="6">
        <v>73</v>
      </c>
      <c r="X111" s="6" t="b">
        <f t="shared" si="28"/>
        <v>0</v>
      </c>
      <c r="Y111" s="6">
        <v>84</v>
      </c>
      <c r="Z111" s="6" t="b">
        <f t="shared" si="29"/>
        <v>0</v>
      </c>
      <c r="AA111" s="6">
        <v>20.890999999999998</v>
      </c>
      <c r="AB111" s="6" t="b">
        <f t="shared" si="30"/>
        <v>0</v>
      </c>
      <c r="AC111" s="6">
        <v>17.428999999999998</v>
      </c>
      <c r="AD111" s="8" t="b">
        <f t="shared" si="31"/>
        <v>0</v>
      </c>
      <c r="AE111" s="8">
        <f t="shared" si="32"/>
        <v>3.4619999999999997</v>
      </c>
      <c r="AF111" t="b">
        <f t="shared" si="33"/>
        <v>0</v>
      </c>
    </row>
    <row r="112" spans="1:32" x14ac:dyDescent="0.3">
      <c r="A112" s="6">
        <v>510</v>
      </c>
      <c r="B112" s="6" t="b">
        <f t="shared" si="17"/>
        <v>0</v>
      </c>
      <c r="C112" s="6">
        <v>10</v>
      </c>
      <c r="D112" s="6" t="b">
        <f t="shared" si="18"/>
        <v>1</v>
      </c>
      <c r="E112" s="6">
        <v>6</v>
      </c>
      <c r="F112" s="6" t="b">
        <f t="shared" si="19"/>
        <v>0</v>
      </c>
      <c r="G112" s="6">
        <v>145</v>
      </c>
      <c r="H112" s="6" t="b">
        <f t="shared" si="20"/>
        <v>0</v>
      </c>
      <c r="I112" s="6">
        <v>2</v>
      </c>
      <c r="J112" s="6" t="b">
        <f t="shared" si="21"/>
        <v>0</v>
      </c>
      <c r="K112" s="6">
        <v>2.94</v>
      </c>
      <c r="L112" s="6" t="b">
        <f t="shared" si="22"/>
        <v>0</v>
      </c>
      <c r="M112" s="6">
        <v>41</v>
      </c>
      <c r="N112" s="6" t="b">
        <f t="shared" si="23"/>
        <v>0</v>
      </c>
      <c r="O112" s="6">
        <v>10</v>
      </c>
      <c r="P112" s="6" t="b">
        <f t="shared" si="24"/>
        <v>0</v>
      </c>
      <c r="Q112" s="6">
        <v>60</v>
      </c>
      <c r="R112" s="6" t="b">
        <f t="shared" si="25"/>
        <v>0</v>
      </c>
      <c r="S112" s="6">
        <v>14</v>
      </c>
      <c r="T112" s="6" t="b">
        <f t="shared" si="26"/>
        <v>0</v>
      </c>
      <c r="U112" s="6">
        <v>3.3999999999999998E-3</v>
      </c>
      <c r="V112" s="6" t="b">
        <f t="shared" si="27"/>
        <v>0</v>
      </c>
      <c r="W112" s="6">
        <v>58</v>
      </c>
      <c r="X112" s="6" t="b">
        <f t="shared" si="28"/>
        <v>0</v>
      </c>
      <c r="Y112" s="6">
        <v>87</v>
      </c>
      <c r="Z112" s="6" t="b">
        <f t="shared" si="29"/>
        <v>0</v>
      </c>
      <c r="AA112" s="6">
        <v>96.727999999999994</v>
      </c>
      <c r="AB112" s="6" t="b">
        <f t="shared" si="30"/>
        <v>0</v>
      </c>
      <c r="AC112" s="6">
        <v>45.222999999999999</v>
      </c>
      <c r="AD112" s="8" t="b">
        <f t="shared" si="31"/>
        <v>0</v>
      </c>
      <c r="AE112" s="8">
        <f t="shared" si="32"/>
        <v>51.504999999999995</v>
      </c>
      <c r="AF112" t="b">
        <f t="shared" si="33"/>
        <v>0</v>
      </c>
    </row>
    <row r="113" spans="1:32" x14ac:dyDescent="0.3">
      <c r="A113" s="6">
        <v>650</v>
      </c>
      <c r="B113" s="6" t="b">
        <f t="shared" si="17"/>
        <v>0</v>
      </c>
      <c r="C113" s="6">
        <v>3</v>
      </c>
      <c r="D113" s="6" t="b">
        <f t="shared" si="18"/>
        <v>0</v>
      </c>
      <c r="E113" s="6">
        <v>6</v>
      </c>
      <c r="F113" s="6" t="b">
        <f t="shared" si="19"/>
        <v>0</v>
      </c>
      <c r="G113" s="6">
        <v>152</v>
      </c>
      <c r="H113" s="6" t="b">
        <f t="shared" si="20"/>
        <v>0</v>
      </c>
      <c r="I113" s="6">
        <v>3.5</v>
      </c>
      <c r="J113" s="6" t="b">
        <f t="shared" si="21"/>
        <v>0</v>
      </c>
      <c r="K113" s="6">
        <v>2.94</v>
      </c>
      <c r="L113" s="6" t="b">
        <f t="shared" si="22"/>
        <v>0</v>
      </c>
      <c r="M113" s="6">
        <v>155</v>
      </c>
      <c r="N113" s="6" t="b">
        <f t="shared" si="23"/>
        <v>0</v>
      </c>
      <c r="O113" s="6">
        <v>7</v>
      </c>
      <c r="P113" s="6" t="b">
        <f t="shared" si="24"/>
        <v>0</v>
      </c>
      <c r="Q113" s="6">
        <v>69</v>
      </c>
      <c r="R113" s="6" t="b">
        <f t="shared" si="25"/>
        <v>0</v>
      </c>
      <c r="S113" s="6">
        <v>13</v>
      </c>
      <c r="T113" s="6" t="b">
        <f t="shared" si="26"/>
        <v>0</v>
      </c>
      <c r="U113" s="6">
        <v>2.2000000000000001E-3</v>
      </c>
      <c r="V113" s="6" t="b">
        <f t="shared" si="27"/>
        <v>0</v>
      </c>
      <c r="W113" s="6">
        <v>101</v>
      </c>
      <c r="X113" s="6" t="b">
        <f t="shared" si="28"/>
        <v>0</v>
      </c>
      <c r="Y113" s="6">
        <v>51</v>
      </c>
      <c r="Z113" s="6" t="b">
        <f t="shared" si="29"/>
        <v>0</v>
      </c>
      <c r="AA113" s="6">
        <v>41.613</v>
      </c>
      <c r="AB113" s="6" t="b">
        <f t="shared" si="30"/>
        <v>0</v>
      </c>
      <c r="AC113" s="6">
        <v>12.193</v>
      </c>
      <c r="AD113" s="8" t="b">
        <f t="shared" si="31"/>
        <v>0</v>
      </c>
      <c r="AE113" s="8">
        <f t="shared" si="32"/>
        <v>29.42</v>
      </c>
      <c r="AF113" t="b">
        <f t="shared" si="33"/>
        <v>0</v>
      </c>
    </row>
    <row r="114" spans="1:32" x14ac:dyDescent="0.3">
      <c r="A114" s="6">
        <v>640</v>
      </c>
      <c r="B114" s="6" t="b">
        <f t="shared" si="17"/>
        <v>0</v>
      </c>
      <c r="C114" s="6">
        <v>10</v>
      </c>
      <c r="D114" s="6" t="b">
        <f t="shared" si="18"/>
        <v>1</v>
      </c>
      <c r="E114" s="6">
        <v>2</v>
      </c>
      <c r="F114" s="6" t="b">
        <f t="shared" si="19"/>
        <v>0</v>
      </c>
      <c r="G114" s="6">
        <v>165</v>
      </c>
      <c r="H114" s="6" t="b">
        <f t="shared" si="20"/>
        <v>0</v>
      </c>
      <c r="I114" s="6">
        <v>3.5</v>
      </c>
      <c r="J114" s="6" t="b">
        <f t="shared" si="21"/>
        <v>0</v>
      </c>
      <c r="K114" s="6">
        <v>2.94</v>
      </c>
      <c r="L114" s="6" t="b">
        <f t="shared" si="22"/>
        <v>0</v>
      </c>
      <c r="M114" s="6">
        <v>293</v>
      </c>
      <c r="N114" s="6" t="b">
        <f t="shared" si="23"/>
        <v>0</v>
      </c>
      <c r="O114" s="6">
        <v>6</v>
      </c>
      <c r="P114" s="6" t="b">
        <f t="shared" si="24"/>
        <v>0</v>
      </c>
      <c r="Q114" s="6">
        <v>45</v>
      </c>
      <c r="R114" s="6" t="b">
        <f t="shared" si="25"/>
        <v>0</v>
      </c>
      <c r="S114" s="6">
        <v>15</v>
      </c>
      <c r="T114" s="6" t="b">
        <f t="shared" si="26"/>
        <v>0</v>
      </c>
      <c r="U114" s="6">
        <v>2.5000000000000001E-3</v>
      </c>
      <c r="V114" s="6" t="b">
        <f t="shared" si="27"/>
        <v>0</v>
      </c>
      <c r="W114" s="6">
        <v>56</v>
      </c>
      <c r="X114" s="6" t="b">
        <f t="shared" si="28"/>
        <v>0</v>
      </c>
      <c r="Y114" s="6">
        <v>109</v>
      </c>
      <c r="Z114" s="6" t="b">
        <f t="shared" si="29"/>
        <v>0</v>
      </c>
      <c r="AA114" s="6">
        <v>126.303</v>
      </c>
      <c r="AB114" s="6" t="b">
        <f t="shared" si="30"/>
        <v>0</v>
      </c>
      <c r="AC114" s="6">
        <v>17.481999999999999</v>
      </c>
      <c r="AD114" s="8" t="b">
        <f t="shared" si="31"/>
        <v>0</v>
      </c>
      <c r="AE114" s="8">
        <f t="shared" si="32"/>
        <v>108.821</v>
      </c>
      <c r="AF114" t="b">
        <f t="shared" si="33"/>
        <v>0</v>
      </c>
    </row>
    <row r="115" spans="1:32" x14ac:dyDescent="0.3">
      <c r="A115" s="6">
        <v>507</v>
      </c>
      <c r="B115" s="6" t="b">
        <f t="shared" si="17"/>
        <v>0</v>
      </c>
      <c r="C115" s="6">
        <v>9</v>
      </c>
      <c r="D115" s="6" t="b">
        <f t="shared" si="18"/>
        <v>1</v>
      </c>
      <c r="E115" s="6">
        <v>8</v>
      </c>
      <c r="F115" s="6" t="b">
        <f t="shared" si="19"/>
        <v>0</v>
      </c>
      <c r="G115" s="6">
        <v>160</v>
      </c>
      <c r="H115" s="6" t="b">
        <f t="shared" si="20"/>
        <v>0</v>
      </c>
      <c r="I115" s="6">
        <v>4.4000000000000004</v>
      </c>
      <c r="J115" s="6" t="b">
        <f t="shared" si="21"/>
        <v>0</v>
      </c>
      <c r="K115" s="6">
        <v>2.94</v>
      </c>
      <c r="L115" s="6" t="b">
        <f t="shared" si="22"/>
        <v>0</v>
      </c>
      <c r="M115" s="6">
        <v>90</v>
      </c>
      <c r="N115" s="6" t="b">
        <f t="shared" si="23"/>
        <v>0</v>
      </c>
      <c r="O115" s="6">
        <v>7</v>
      </c>
      <c r="P115" s="6" t="b">
        <f t="shared" si="24"/>
        <v>0</v>
      </c>
      <c r="Q115" s="6">
        <v>66</v>
      </c>
      <c r="R115" s="6" t="b">
        <f t="shared" si="25"/>
        <v>0</v>
      </c>
      <c r="S115" s="6">
        <v>12</v>
      </c>
      <c r="T115" s="6" t="b">
        <f t="shared" si="26"/>
        <v>0</v>
      </c>
      <c r="U115" s="6">
        <v>2.7000000000000001E-3</v>
      </c>
      <c r="V115" s="6" t="b">
        <f t="shared" si="27"/>
        <v>0</v>
      </c>
      <c r="W115" s="6">
        <v>72</v>
      </c>
      <c r="X115" s="6" t="b">
        <f t="shared" si="28"/>
        <v>0</v>
      </c>
      <c r="Y115" s="6">
        <v>88</v>
      </c>
      <c r="Z115" s="6" t="b">
        <f t="shared" si="29"/>
        <v>0</v>
      </c>
      <c r="AA115" s="6">
        <v>51.203000000000003</v>
      </c>
      <c r="AB115" s="6" t="b">
        <f t="shared" si="30"/>
        <v>0</v>
      </c>
      <c r="AC115" s="6">
        <v>14.819000000000001</v>
      </c>
      <c r="AD115" s="8" t="b">
        <f t="shared" si="31"/>
        <v>0</v>
      </c>
      <c r="AE115" s="8">
        <f t="shared" si="32"/>
        <v>36.384</v>
      </c>
      <c r="AF115" t="b">
        <f t="shared" si="33"/>
        <v>0</v>
      </c>
    </row>
    <row r="116" spans="1:32" x14ac:dyDescent="0.3">
      <c r="A116" s="6">
        <v>320</v>
      </c>
      <c r="B116" s="6" t="b">
        <f t="shared" si="17"/>
        <v>0</v>
      </c>
      <c r="C116" s="6">
        <v>10</v>
      </c>
      <c r="D116" s="6" t="b">
        <f t="shared" si="18"/>
        <v>1</v>
      </c>
      <c r="E116" s="6">
        <v>14</v>
      </c>
      <c r="F116" s="6" t="b">
        <f t="shared" si="19"/>
        <v>1</v>
      </c>
      <c r="G116" s="6">
        <v>170</v>
      </c>
      <c r="H116" s="6" t="b">
        <f t="shared" si="20"/>
        <v>0</v>
      </c>
      <c r="I116" s="6">
        <v>1.3</v>
      </c>
      <c r="J116" s="6" t="b">
        <f t="shared" si="21"/>
        <v>0</v>
      </c>
      <c r="K116" s="6">
        <v>2.94</v>
      </c>
      <c r="L116" s="6" t="b">
        <f t="shared" si="22"/>
        <v>0</v>
      </c>
      <c r="M116" s="6">
        <v>347</v>
      </c>
      <c r="N116" s="6" t="b">
        <f t="shared" si="23"/>
        <v>0</v>
      </c>
      <c r="O116" s="6">
        <v>15</v>
      </c>
      <c r="P116" s="6" t="b">
        <f t="shared" si="24"/>
        <v>0</v>
      </c>
      <c r="Q116" s="6">
        <v>96</v>
      </c>
      <c r="R116" s="6" t="b">
        <f t="shared" si="25"/>
        <v>0</v>
      </c>
      <c r="S116" s="6">
        <v>17</v>
      </c>
      <c r="T116" s="6" t="b">
        <f t="shared" si="26"/>
        <v>0</v>
      </c>
      <c r="U116" s="6">
        <v>2.8999999999999998E-3</v>
      </c>
      <c r="V116" s="6" t="b">
        <f t="shared" si="27"/>
        <v>0</v>
      </c>
      <c r="W116" s="6">
        <v>96</v>
      </c>
      <c r="X116" s="6" t="b">
        <f t="shared" si="28"/>
        <v>0</v>
      </c>
      <c r="Y116" s="6">
        <v>74</v>
      </c>
      <c r="Z116" s="6" t="b">
        <f t="shared" si="29"/>
        <v>0</v>
      </c>
      <c r="AA116" s="6">
        <v>212.905</v>
      </c>
      <c r="AB116" s="6" t="b">
        <f t="shared" si="30"/>
        <v>1</v>
      </c>
      <c r="AC116" s="6">
        <v>30.995999999999999</v>
      </c>
      <c r="AD116" s="8" t="b">
        <f t="shared" si="31"/>
        <v>0</v>
      </c>
      <c r="AE116" s="8">
        <f t="shared" si="32"/>
        <v>181.90899999999999</v>
      </c>
      <c r="AF116" t="b">
        <f t="shared" si="33"/>
        <v>1</v>
      </c>
    </row>
    <row r="117" spans="1:32" x14ac:dyDescent="0.3">
      <c r="A117" s="6">
        <v>480</v>
      </c>
      <c r="B117" s="6" t="b">
        <f t="shared" si="17"/>
        <v>0</v>
      </c>
      <c r="C117" s="6">
        <v>7</v>
      </c>
      <c r="D117" s="6" t="b">
        <f t="shared" si="18"/>
        <v>0</v>
      </c>
      <c r="E117" s="6">
        <v>3</v>
      </c>
      <c r="F117" s="6" t="b">
        <f t="shared" si="19"/>
        <v>0</v>
      </c>
      <c r="G117" s="6">
        <v>150</v>
      </c>
      <c r="H117" s="6" t="b">
        <f t="shared" si="20"/>
        <v>0</v>
      </c>
      <c r="I117" s="6">
        <v>3</v>
      </c>
      <c r="J117" s="6" t="b">
        <f t="shared" si="21"/>
        <v>0</v>
      </c>
      <c r="K117" s="6">
        <v>2.94</v>
      </c>
      <c r="L117" s="6" t="b">
        <f t="shared" si="22"/>
        <v>0</v>
      </c>
      <c r="M117" s="6">
        <v>318</v>
      </c>
      <c r="N117" s="6" t="b">
        <f t="shared" si="23"/>
        <v>0</v>
      </c>
      <c r="O117" s="6">
        <v>5</v>
      </c>
      <c r="P117" s="6" t="b">
        <f t="shared" si="24"/>
        <v>0</v>
      </c>
      <c r="Q117" s="6">
        <v>44</v>
      </c>
      <c r="R117" s="6" t="b">
        <f t="shared" si="25"/>
        <v>0</v>
      </c>
      <c r="S117" s="6">
        <v>17</v>
      </c>
      <c r="T117" s="6" t="b">
        <f t="shared" si="26"/>
        <v>0</v>
      </c>
      <c r="U117" s="6">
        <v>2.3999999999999998E-3</v>
      </c>
      <c r="V117" s="6" t="b">
        <f t="shared" si="27"/>
        <v>0</v>
      </c>
      <c r="W117" s="6">
        <v>41</v>
      </c>
      <c r="X117" s="6" t="b">
        <f t="shared" si="28"/>
        <v>0</v>
      </c>
      <c r="Y117" s="6">
        <v>109</v>
      </c>
      <c r="Z117" s="6" t="b">
        <f t="shared" si="29"/>
        <v>0</v>
      </c>
      <c r="AA117" s="6">
        <v>103.563</v>
      </c>
      <c r="AB117" s="6" t="b">
        <f t="shared" si="30"/>
        <v>0</v>
      </c>
      <c r="AC117" s="6">
        <v>22.317</v>
      </c>
      <c r="AD117" s="8" t="b">
        <f t="shared" si="31"/>
        <v>0</v>
      </c>
      <c r="AE117" s="8">
        <f t="shared" si="32"/>
        <v>81.246000000000009</v>
      </c>
      <c r="AF117" t="b">
        <f t="shared" si="33"/>
        <v>0</v>
      </c>
    </row>
    <row r="118" spans="1:32" x14ac:dyDescent="0.3">
      <c r="A118" s="6">
        <v>509</v>
      </c>
      <c r="B118" s="6" t="b">
        <f t="shared" si="17"/>
        <v>0</v>
      </c>
      <c r="C118" s="6">
        <v>10</v>
      </c>
      <c r="D118" s="6" t="b">
        <f t="shared" si="18"/>
        <v>1</v>
      </c>
      <c r="E118" s="6">
        <v>10</v>
      </c>
      <c r="F118" s="6" t="b">
        <f t="shared" si="19"/>
        <v>0</v>
      </c>
      <c r="G118" s="6">
        <v>169</v>
      </c>
      <c r="H118" s="6" t="b">
        <f t="shared" si="20"/>
        <v>0</v>
      </c>
      <c r="I118" s="6">
        <v>0.9</v>
      </c>
      <c r="J118" s="6" t="b">
        <f t="shared" si="21"/>
        <v>0</v>
      </c>
      <c r="K118" s="6">
        <v>2.94</v>
      </c>
      <c r="L118" s="6" t="b">
        <f t="shared" si="22"/>
        <v>0</v>
      </c>
      <c r="M118" s="6">
        <v>41</v>
      </c>
      <c r="N118" s="6" t="b">
        <f t="shared" si="23"/>
        <v>0</v>
      </c>
      <c r="O118" s="6">
        <v>10</v>
      </c>
      <c r="P118" s="6" t="b">
        <f t="shared" si="24"/>
        <v>0</v>
      </c>
      <c r="Q118" s="6">
        <v>79</v>
      </c>
      <c r="R118" s="6" t="b">
        <f t="shared" si="25"/>
        <v>0</v>
      </c>
      <c r="S118" s="6">
        <v>15</v>
      </c>
      <c r="T118" s="6" t="b">
        <f t="shared" si="26"/>
        <v>0</v>
      </c>
      <c r="U118" s="6">
        <v>2.5000000000000001E-3</v>
      </c>
      <c r="V118" s="6" t="b">
        <f t="shared" si="27"/>
        <v>0</v>
      </c>
      <c r="W118" s="6">
        <v>96</v>
      </c>
      <c r="X118" s="6" t="b">
        <f t="shared" si="28"/>
        <v>0</v>
      </c>
      <c r="Y118" s="6">
        <v>73</v>
      </c>
      <c r="Z118" s="6" t="b">
        <f t="shared" si="29"/>
        <v>0</v>
      </c>
      <c r="AA118" s="6">
        <v>144.28100000000001</v>
      </c>
      <c r="AB118" s="6" t="b">
        <f t="shared" si="30"/>
        <v>0</v>
      </c>
      <c r="AC118" s="6">
        <v>35.052999999999997</v>
      </c>
      <c r="AD118" s="8" t="b">
        <f t="shared" si="31"/>
        <v>0</v>
      </c>
      <c r="AE118" s="8">
        <f t="shared" si="32"/>
        <v>109.22800000000001</v>
      </c>
      <c r="AF118" t="b">
        <f t="shared" si="33"/>
        <v>0</v>
      </c>
    </row>
    <row r="119" spans="1:32" x14ac:dyDescent="0.3">
      <c r="A119" s="6">
        <v>478</v>
      </c>
      <c r="B119" s="6" t="b">
        <f t="shared" si="17"/>
        <v>0</v>
      </c>
      <c r="C119" s="6">
        <v>10</v>
      </c>
      <c r="D119" s="6" t="b">
        <f t="shared" si="18"/>
        <v>1</v>
      </c>
      <c r="E119" s="6">
        <v>16</v>
      </c>
      <c r="F119" s="6" t="b">
        <f t="shared" si="19"/>
        <v>1</v>
      </c>
      <c r="G119" s="6">
        <v>169</v>
      </c>
      <c r="H119" s="6" t="b">
        <f t="shared" si="20"/>
        <v>0</v>
      </c>
      <c r="I119" s="6">
        <v>1.3</v>
      </c>
      <c r="J119" s="6" t="b">
        <f t="shared" si="21"/>
        <v>0</v>
      </c>
      <c r="K119" s="6">
        <v>2.94</v>
      </c>
      <c r="L119" s="6" t="b">
        <f t="shared" si="22"/>
        <v>0</v>
      </c>
      <c r="M119" s="6">
        <v>142</v>
      </c>
      <c r="N119" s="6" t="b">
        <f t="shared" si="23"/>
        <v>0</v>
      </c>
      <c r="O119" s="6">
        <v>15</v>
      </c>
      <c r="P119" s="6" t="b">
        <f t="shared" si="24"/>
        <v>0</v>
      </c>
      <c r="Q119" s="6">
        <v>110</v>
      </c>
      <c r="R119" s="6" t="b">
        <f t="shared" si="25"/>
        <v>0</v>
      </c>
      <c r="S119" s="6">
        <v>16</v>
      </c>
      <c r="T119" s="6" t="b">
        <f t="shared" si="26"/>
        <v>0</v>
      </c>
      <c r="U119" s="6">
        <v>2.5000000000000001E-3</v>
      </c>
      <c r="V119" s="6" t="b">
        <f t="shared" si="27"/>
        <v>0</v>
      </c>
      <c r="W119" s="6">
        <v>120</v>
      </c>
      <c r="X119" s="6" t="b">
        <f t="shared" si="28"/>
        <v>0</v>
      </c>
      <c r="Y119" s="6">
        <v>49</v>
      </c>
      <c r="Z119" s="6" t="b">
        <f t="shared" si="29"/>
        <v>0</v>
      </c>
      <c r="AA119" s="6">
        <v>240.89099999999999</v>
      </c>
      <c r="AB119" s="6" t="b">
        <f t="shared" si="30"/>
        <v>1</v>
      </c>
      <c r="AC119" s="6">
        <v>59.067</v>
      </c>
      <c r="AD119" s="8" t="b">
        <f t="shared" si="31"/>
        <v>0</v>
      </c>
      <c r="AE119" s="8">
        <f t="shared" si="32"/>
        <v>181.82399999999998</v>
      </c>
      <c r="AF119" t="b">
        <f t="shared" si="33"/>
        <v>1</v>
      </c>
    </row>
    <row r="120" spans="1:32" x14ac:dyDescent="0.3">
      <c r="A120" s="6">
        <v>500</v>
      </c>
      <c r="B120" s="6" t="b">
        <f t="shared" si="17"/>
        <v>0</v>
      </c>
      <c r="C120" s="6">
        <v>10</v>
      </c>
      <c r="D120" s="6" t="b">
        <f t="shared" si="18"/>
        <v>1</v>
      </c>
      <c r="E120" s="6">
        <v>3</v>
      </c>
      <c r="F120" s="6" t="b">
        <f t="shared" si="19"/>
        <v>0</v>
      </c>
      <c r="G120" s="6">
        <v>148</v>
      </c>
      <c r="H120" s="6" t="b">
        <f t="shared" si="20"/>
        <v>0</v>
      </c>
      <c r="I120" s="6">
        <v>13.1</v>
      </c>
      <c r="J120" s="6" t="b">
        <f t="shared" si="21"/>
        <v>1</v>
      </c>
      <c r="K120" s="6">
        <v>2.94</v>
      </c>
      <c r="L120" s="6" t="b">
        <f t="shared" si="22"/>
        <v>0</v>
      </c>
      <c r="M120" s="6">
        <v>114</v>
      </c>
      <c r="N120" s="6" t="b">
        <f t="shared" si="23"/>
        <v>0</v>
      </c>
      <c r="O120" s="6">
        <v>10</v>
      </c>
      <c r="P120" s="6" t="b">
        <f t="shared" si="24"/>
        <v>0</v>
      </c>
      <c r="Q120" s="6">
        <v>89</v>
      </c>
      <c r="R120" s="6" t="b">
        <f t="shared" si="25"/>
        <v>0</v>
      </c>
      <c r="S120" s="6">
        <v>16</v>
      </c>
      <c r="T120" s="6" t="b">
        <f t="shared" si="26"/>
        <v>0</v>
      </c>
      <c r="U120" s="6">
        <v>2.2000000000000001E-3</v>
      </c>
      <c r="V120" s="6" t="b">
        <f t="shared" si="27"/>
        <v>0</v>
      </c>
      <c r="W120" s="6">
        <v>79</v>
      </c>
      <c r="X120" s="6" t="b">
        <f t="shared" si="28"/>
        <v>0</v>
      </c>
      <c r="Y120" s="6">
        <v>69</v>
      </c>
      <c r="Z120" s="6" t="b">
        <f t="shared" si="29"/>
        <v>0</v>
      </c>
      <c r="AA120" s="6">
        <v>298.54399999999998</v>
      </c>
      <c r="AB120" s="6" t="b">
        <f t="shared" si="30"/>
        <v>1</v>
      </c>
      <c r="AC120" s="6">
        <v>36.529000000000003</v>
      </c>
      <c r="AD120" s="8" t="b">
        <f t="shared" si="31"/>
        <v>0</v>
      </c>
      <c r="AE120" s="8">
        <f>AA120-AC120</f>
        <v>262.01499999999999</v>
      </c>
      <c r="AF120" t="b">
        <f t="shared" si="33"/>
        <v>1</v>
      </c>
    </row>
    <row r="121" spans="1:32" x14ac:dyDescent="0.3">
      <c r="A121" s="6">
        <v>490</v>
      </c>
      <c r="B121" s="6" t="b">
        <f t="shared" si="17"/>
        <v>0</v>
      </c>
      <c r="C121" s="6">
        <v>9</v>
      </c>
      <c r="D121" s="6" t="b">
        <f t="shared" si="18"/>
        <v>1</v>
      </c>
      <c r="E121" s="6">
        <v>9</v>
      </c>
      <c r="F121" s="6" t="b">
        <f t="shared" si="19"/>
        <v>0</v>
      </c>
      <c r="G121" s="6">
        <v>0</v>
      </c>
      <c r="H121" s="6" t="b">
        <f t="shared" si="20"/>
        <v>0</v>
      </c>
      <c r="I121" s="6">
        <v>1.3</v>
      </c>
      <c r="J121" s="6" t="b">
        <f t="shared" si="21"/>
        <v>0</v>
      </c>
      <c r="K121" s="6">
        <v>2.94</v>
      </c>
      <c r="L121" s="6" t="b">
        <f t="shared" si="22"/>
        <v>0</v>
      </c>
      <c r="M121" s="6">
        <v>214</v>
      </c>
      <c r="N121" s="6" t="b">
        <f t="shared" si="23"/>
        <v>0</v>
      </c>
      <c r="O121" s="6">
        <v>5</v>
      </c>
      <c r="P121" s="6" t="b">
        <f t="shared" si="24"/>
        <v>0</v>
      </c>
      <c r="Q121" s="6">
        <v>46</v>
      </c>
      <c r="R121" s="6" t="b">
        <f t="shared" si="25"/>
        <v>0</v>
      </c>
      <c r="S121" s="6">
        <v>14</v>
      </c>
      <c r="T121" s="6" t="b">
        <f t="shared" si="26"/>
        <v>0</v>
      </c>
      <c r="U121" s="6">
        <v>2.2000000000000001E-3</v>
      </c>
      <c r="V121" s="6" t="b">
        <f t="shared" si="27"/>
        <v>0</v>
      </c>
      <c r="W121" s="6">
        <v>0</v>
      </c>
      <c r="X121" s="6" t="b">
        <f t="shared" si="28"/>
        <v>1</v>
      </c>
      <c r="Y121" s="6">
        <v>0</v>
      </c>
      <c r="Z121" s="6" t="b">
        <f t="shared" si="29"/>
        <v>0</v>
      </c>
      <c r="AA121" s="6">
        <v>109.94499999999999</v>
      </c>
      <c r="AB121" s="6" t="b">
        <f t="shared" si="30"/>
        <v>0</v>
      </c>
      <c r="AC121" s="6">
        <v>22.498000000000001</v>
      </c>
      <c r="AD121" s="8" t="b">
        <f t="shared" si="31"/>
        <v>0</v>
      </c>
      <c r="AE121" s="8">
        <f t="shared" si="32"/>
        <v>87.446999999999989</v>
      </c>
      <c r="AF121" t="b">
        <f t="shared" si="33"/>
        <v>0</v>
      </c>
    </row>
    <row r="122" spans="1:32" x14ac:dyDescent="0.3">
      <c r="A122" s="6">
        <v>470</v>
      </c>
      <c r="B122" s="6" t="b">
        <f t="shared" si="17"/>
        <v>0</v>
      </c>
      <c r="C122" s="6">
        <v>10</v>
      </c>
      <c r="D122" s="6" t="b">
        <f t="shared" si="18"/>
        <v>1</v>
      </c>
      <c r="E122" s="6">
        <v>6</v>
      </c>
      <c r="F122" s="6" t="b">
        <f t="shared" si="19"/>
        <v>0</v>
      </c>
      <c r="G122" s="6">
        <v>165</v>
      </c>
      <c r="H122" s="6" t="b">
        <f t="shared" si="20"/>
        <v>0</v>
      </c>
      <c r="I122" s="6">
        <v>2.8</v>
      </c>
      <c r="J122" s="6" t="b">
        <f t="shared" si="21"/>
        <v>0</v>
      </c>
      <c r="K122" s="6">
        <v>2.94</v>
      </c>
      <c r="L122" s="6" t="b">
        <f t="shared" si="22"/>
        <v>0</v>
      </c>
      <c r="M122" s="6">
        <v>221</v>
      </c>
      <c r="N122" s="6" t="b">
        <f t="shared" si="23"/>
        <v>0</v>
      </c>
      <c r="O122" s="6">
        <v>5</v>
      </c>
      <c r="P122" s="6" t="b">
        <f t="shared" si="24"/>
        <v>0</v>
      </c>
      <c r="Q122" s="6">
        <v>46</v>
      </c>
      <c r="R122" s="6" t="b">
        <f t="shared" si="25"/>
        <v>0</v>
      </c>
      <c r="S122" s="6">
        <v>14</v>
      </c>
      <c r="T122" s="6" t="b">
        <f t="shared" si="26"/>
        <v>0</v>
      </c>
      <c r="U122" s="6">
        <v>1.6999999999999999E-3</v>
      </c>
      <c r="V122" s="6" t="b">
        <f t="shared" si="27"/>
        <v>0</v>
      </c>
      <c r="W122" s="6">
        <v>99</v>
      </c>
      <c r="X122" s="6" t="b">
        <f t="shared" si="28"/>
        <v>0</v>
      </c>
      <c r="Y122" s="6">
        <v>66</v>
      </c>
      <c r="Z122" s="6" t="b">
        <f t="shared" si="29"/>
        <v>0</v>
      </c>
      <c r="AA122" s="6">
        <v>157.08699999999999</v>
      </c>
      <c r="AB122" s="6" t="b">
        <f t="shared" si="30"/>
        <v>0</v>
      </c>
      <c r="AC122" s="6">
        <v>13.241</v>
      </c>
      <c r="AD122" s="8" t="b">
        <f t="shared" si="31"/>
        <v>0</v>
      </c>
      <c r="AE122" s="8">
        <f t="shared" si="32"/>
        <v>143.846</v>
      </c>
      <c r="AF122" t="b">
        <f t="shared" si="33"/>
        <v>1</v>
      </c>
    </row>
    <row r="123" spans="1:32" x14ac:dyDescent="0.3">
      <c r="A123" s="6">
        <v>370</v>
      </c>
      <c r="B123" s="6" t="b">
        <f t="shared" si="17"/>
        <v>0</v>
      </c>
      <c r="C123" s="6">
        <v>8</v>
      </c>
      <c r="D123" s="6" t="b">
        <f t="shared" si="18"/>
        <v>0</v>
      </c>
      <c r="E123" s="6">
        <v>10</v>
      </c>
      <c r="F123" s="6" t="b">
        <f t="shared" si="19"/>
        <v>0</v>
      </c>
      <c r="G123" s="6">
        <v>150</v>
      </c>
      <c r="H123" s="6" t="b">
        <f t="shared" si="20"/>
        <v>0</v>
      </c>
      <c r="I123" s="6">
        <v>1.3</v>
      </c>
      <c r="J123" s="6" t="b">
        <f t="shared" si="21"/>
        <v>0</v>
      </c>
      <c r="K123" s="6">
        <v>2.94</v>
      </c>
      <c r="L123" s="6" t="b">
        <f t="shared" si="22"/>
        <v>0</v>
      </c>
      <c r="M123" s="6">
        <v>221</v>
      </c>
      <c r="N123" s="6" t="b">
        <f t="shared" si="23"/>
        <v>0</v>
      </c>
      <c r="O123" s="6">
        <v>7</v>
      </c>
      <c r="P123" s="6" t="b">
        <f t="shared" si="24"/>
        <v>0</v>
      </c>
      <c r="Q123" s="6">
        <v>48</v>
      </c>
      <c r="R123" s="6" t="b">
        <f t="shared" si="25"/>
        <v>0</v>
      </c>
      <c r="S123" s="6">
        <v>18</v>
      </c>
      <c r="T123" s="6" t="b">
        <f t="shared" si="26"/>
        <v>0</v>
      </c>
      <c r="U123" s="6">
        <v>2E-3</v>
      </c>
      <c r="V123" s="6" t="b">
        <f t="shared" si="27"/>
        <v>0</v>
      </c>
      <c r="W123" s="6">
        <v>44</v>
      </c>
      <c r="X123" s="6" t="b">
        <f t="shared" si="28"/>
        <v>0</v>
      </c>
      <c r="Y123" s="6">
        <v>106</v>
      </c>
      <c r="Z123" s="6" t="b">
        <f t="shared" si="29"/>
        <v>0</v>
      </c>
      <c r="AA123" s="6">
        <v>140.136</v>
      </c>
      <c r="AB123" s="6" t="b">
        <f t="shared" si="30"/>
        <v>0</v>
      </c>
      <c r="AC123" s="6">
        <v>26.725000000000001</v>
      </c>
      <c r="AD123" s="8" t="b">
        <f t="shared" si="31"/>
        <v>0</v>
      </c>
      <c r="AE123" s="8">
        <f t="shared" si="32"/>
        <v>113.411</v>
      </c>
      <c r="AF123" t="b">
        <f t="shared" si="33"/>
        <v>0</v>
      </c>
    </row>
    <row r="124" spans="1:32" x14ac:dyDescent="0.3">
      <c r="A124" s="6">
        <v>480</v>
      </c>
      <c r="B124" s="6" t="b">
        <f t="shared" si="17"/>
        <v>0</v>
      </c>
      <c r="C124" s="6">
        <v>11</v>
      </c>
      <c r="D124" s="6" t="b">
        <f t="shared" si="18"/>
        <v>1</v>
      </c>
      <c r="E124" s="6">
        <v>4</v>
      </c>
      <c r="F124" s="6" t="b">
        <f t="shared" si="19"/>
        <v>0</v>
      </c>
      <c r="G124" s="6">
        <v>150</v>
      </c>
      <c r="H124" s="6" t="b">
        <f t="shared" si="20"/>
        <v>0</v>
      </c>
      <c r="I124" s="6">
        <v>1.5</v>
      </c>
      <c r="J124" s="6" t="b">
        <f t="shared" si="21"/>
        <v>0</v>
      </c>
      <c r="K124" s="6">
        <v>2.94</v>
      </c>
      <c r="L124" s="6" t="b">
        <f t="shared" si="22"/>
        <v>0</v>
      </c>
      <c r="M124" s="6">
        <v>254</v>
      </c>
      <c r="N124" s="6" t="b">
        <f t="shared" si="23"/>
        <v>0</v>
      </c>
      <c r="O124" s="6">
        <v>0</v>
      </c>
      <c r="P124" s="6" t="b">
        <f t="shared" si="24"/>
        <v>0</v>
      </c>
      <c r="Q124" s="6">
        <v>51</v>
      </c>
      <c r="R124" s="6" t="b">
        <f t="shared" si="25"/>
        <v>0</v>
      </c>
      <c r="S124" s="6">
        <v>15</v>
      </c>
      <c r="T124" s="6" t="b">
        <f t="shared" si="26"/>
        <v>0</v>
      </c>
      <c r="U124" s="6">
        <v>1.9E-3</v>
      </c>
      <c r="V124" s="6" t="b">
        <f t="shared" si="27"/>
        <v>0</v>
      </c>
      <c r="W124" s="6">
        <v>118</v>
      </c>
      <c r="X124" s="6" t="b">
        <f t="shared" si="28"/>
        <v>0</v>
      </c>
      <c r="Y124" s="6">
        <v>32</v>
      </c>
      <c r="Z124" s="6" t="b">
        <f t="shared" si="29"/>
        <v>0</v>
      </c>
      <c r="AA124" s="6">
        <v>87.989000000000004</v>
      </c>
      <c r="AB124" s="6" t="b">
        <f t="shared" si="30"/>
        <v>0</v>
      </c>
      <c r="AC124" s="6">
        <v>7.3559999999999999</v>
      </c>
      <c r="AD124" s="8" t="b">
        <f t="shared" si="31"/>
        <v>0</v>
      </c>
      <c r="AE124" s="8">
        <f t="shared" si="32"/>
        <v>80.63300000000001</v>
      </c>
      <c r="AF124" t="b">
        <f t="shared" si="33"/>
        <v>0</v>
      </c>
    </row>
    <row r="125" spans="1:32" x14ac:dyDescent="0.3">
      <c r="A125" s="6">
        <v>287</v>
      </c>
      <c r="B125" s="6" t="b">
        <f t="shared" si="17"/>
        <v>0</v>
      </c>
      <c r="C125" s="6">
        <v>3</v>
      </c>
      <c r="D125" s="6" t="b">
        <f t="shared" si="18"/>
        <v>0</v>
      </c>
      <c r="E125" s="6">
        <v>5</v>
      </c>
      <c r="F125" s="6" t="b">
        <f t="shared" si="19"/>
        <v>0</v>
      </c>
      <c r="G125" s="6">
        <v>180</v>
      </c>
      <c r="H125" s="6" t="b">
        <f t="shared" si="20"/>
        <v>0</v>
      </c>
      <c r="I125" s="6">
        <v>2.5</v>
      </c>
      <c r="J125" s="6" t="b">
        <f t="shared" si="21"/>
        <v>0</v>
      </c>
      <c r="K125" s="6">
        <v>2.94</v>
      </c>
      <c r="L125" s="6" t="b">
        <f t="shared" si="22"/>
        <v>0</v>
      </c>
      <c r="M125" s="6">
        <v>349</v>
      </c>
      <c r="N125" s="6" t="b">
        <f t="shared" si="23"/>
        <v>0</v>
      </c>
      <c r="O125" s="6">
        <v>5</v>
      </c>
      <c r="P125" s="6" t="b">
        <f t="shared" si="24"/>
        <v>0</v>
      </c>
      <c r="Q125" s="6">
        <v>57</v>
      </c>
      <c r="R125" s="6" t="b">
        <f t="shared" si="25"/>
        <v>0</v>
      </c>
      <c r="S125" s="6">
        <v>12</v>
      </c>
      <c r="T125" s="6" t="b">
        <f t="shared" si="26"/>
        <v>0</v>
      </c>
      <c r="U125" s="6">
        <v>2.3E-3</v>
      </c>
      <c r="V125" s="6" t="b">
        <f t="shared" si="27"/>
        <v>0</v>
      </c>
      <c r="W125" s="6">
        <v>103</v>
      </c>
      <c r="X125" s="6" t="b">
        <f t="shared" si="28"/>
        <v>0</v>
      </c>
      <c r="Y125" s="6">
        <v>77</v>
      </c>
      <c r="Z125" s="6" t="b">
        <f t="shared" si="29"/>
        <v>0</v>
      </c>
      <c r="AA125" s="6">
        <v>59.249000000000002</v>
      </c>
      <c r="AB125" s="6" t="b">
        <f t="shared" si="30"/>
        <v>0</v>
      </c>
      <c r="AC125" s="6">
        <v>16.016999999999999</v>
      </c>
      <c r="AD125" s="8" t="b">
        <f t="shared" si="31"/>
        <v>0</v>
      </c>
      <c r="AE125" s="8">
        <f t="shared" si="32"/>
        <v>43.231999999999999</v>
      </c>
      <c r="AF125" t="b">
        <f t="shared" si="33"/>
        <v>0</v>
      </c>
    </row>
    <row r="126" spans="1:32" x14ac:dyDescent="0.3">
      <c r="A126" s="6">
        <v>170</v>
      </c>
      <c r="B126" s="6" t="b">
        <f t="shared" si="17"/>
        <v>0</v>
      </c>
      <c r="C126" s="6">
        <v>4</v>
      </c>
      <c r="D126" s="6" t="b">
        <f t="shared" si="18"/>
        <v>0</v>
      </c>
      <c r="E126" s="6">
        <v>5</v>
      </c>
      <c r="F126" s="6" t="b">
        <f t="shared" si="19"/>
        <v>0</v>
      </c>
      <c r="G126" s="6">
        <v>150</v>
      </c>
      <c r="H126" s="6" t="b">
        <f t="shared" si="20"/>
        <v>0</v>
      </c>
      <c r="I126" s="6">
        <v>2.5</v>
      </c>
      <c r="J126" s="6" t="b">
        <f t="shared" si="21"/>
        <v>0</v>
      </c>
      <c r="K126" s="6">
        <v>2.94</v>
      </c>
      <c r="L126" s="6" t="b">
        <f t="shared" si="22"/>
        <v>0</v>
      </c>
      <c r="M126" s="6">
        <v>299</v>
      </c>
      <c r="N126" s="6" t="b">
        <f t="shared" si="23"/>
        <v>0</v>
      </c>
      <c r="O126" s="6">
        <v>5</v>
      </c>
      <c r="P126" s="6" t="b">
        <f t="shared" si="24"/>
        <v>0</v>
      </c>
      <c r="Q126" s="6">
        <v>53</v>
      </c>
      <c r="R126" s="6" t="b">
        <f t="shared" si="25"/>
        <v>0</v>
      </c>
      <c r="S126" s="6">
        <v>11</v>
      </c>
      <c r="T126" s="6" t="b">
        <f t="shared" si="26"/>
        <v>0</v>
      </c>
      <c r="U126" s="6">
        <v>2.3E-3</v>
      </c>
      <c r="V126" s="6" t="b">
        <f t="shared" si="27"/>
        <v>0</v>
      </c>
      <c r="W126" s="6">
        <v>75</v>
      </c>
      <c r="X126" s="6" t="b">
        <f t="shared" si="28"/>
        <v>0</v>
      </c>
      <c r="Y126" s="6">
        <v>75</v>
      </c>
      <c r="Z126" s="6" t="b">
        <f t="shared" si="29"/>
        <v>0</v>
      </c>
      <c r="AA126" s="6">
        <v>26.038</v>
      </c>
      <c r="AB126" s="6" t="b">
        <f t="shared" si="30"/>
        <v>0</v>
      </c>
      <c r="AC126" s="6">
        <v>11.792999999999999</v>
      </c>
      <c r="AD126" s="8" t="b">
        <f t="shared" si="31"/>
        <v>0</v>
      </c>
      <c r="AE126" s="8">
        <f t="shared" si="32"/>
        <v>14.245000000000001</v>
      </c>
      <c r="AF126" t="b">
        <f t="shared" si="33"/>
        <v>0</v>
      </c>
    </row>
    <row r="127" spans="1:32" x14ac:dyDescent="0.3">
      <c r="A127" s="6">
        <v>569</v>
      </c>
      <c r="B127" s="6" t="b">
        <f t="shared" si="17"/>
        <v>0</v>
      </c>
      <c r="C127" s="6">
        <v>11</v>
      </c>
      <c r="D127" s="6" t="b">
        <f t="shared" si="18"/>
        <v>1</v>
      </c>
      <c r="E127" s="6">
        <v>10</v>
      </c>
      <c r="F127" s="6" t="b">
        <f t="shared" si="19"/>
        <v>0</v>
      </c>
      <c r="G127" s="6">
        <v>160</v>
      </c>
      <c r="H127" s="6" t="b">
        <f t="shared" si="20"/>
        <v>0</v>
      </c>
      <c r="I127" s="6">
        <v>1.3</v>
      </c>
      <c r="J127" s="6" t="b">
        <f t="shared" si="21"/>
        <v>0</v>
      </c>
      <c r="K127" s="6">
        <v>2.94</v>
      </c>
      <c r="L127" s="6" t="b">
        <f t="shared" si="22"/>
        <v>0</v>
      </c>
      <c r="M127" s="6">
        <v>221</v>
      </c>
      <c r="N127" s="6" t="b">
        <f t="shared" si="23"/>
        <v>0</v>
      </c>
      <c r="O127" s="6">
        <v>5</v>
      </c>
      <c r="P127" s="6" t="b">
        <f t="shared" si="24"/>
        <v>0</v>
      </c>
      <c r="Q127" s="6">
        <v>46</v>
      </c>
      <c r="R127" s="6" t="b">
        <f t="shared" si="25"/>
        <v>0</v>
      </c>
      <c r="S127" s="6">
        <v>16</v>
      </c>
      <c r="T127" s="6" t="b">
        <f t="shared" si="26"/>
        <v>0</v>
      </c>
      <c r="U127" s="6">
        <v>2E-3</v>
      </c>
      <c r="V127" s="6" t="b">
        <f t="shared" si="27"/>
        <v>0</v>
      </c>
      <c r="W127" s="6">
        <v>87</v>
      </c>
      <c r="X127" s="6" t="b">
        <f t="shared" si="28"/>
        <v>0</v>
      </c>
      <c r="Y127" s="6">
        <v>73</v>
      </c>
      <c r="Z127" s="6" t="b">
        <f t="shared" si="29"/>
        <v>0</v>
      </c>
      <c r="AA127" s="6">
        <v>108.003</v>
      </c>
      <c r="AB127" s="6" t="b">
        <f t="shared" si="30"/>
        <v>0</v>
      </c>
      <c r="AC127" s="6">
        <v>28.756</v>
      </c>
      <c r="AD127" s="8" t="b">
        <f t="shared" si="31"/>
        <v>0</v>
      </c>
      <c r="AE127" s="8">
        <f t="shared" si="32"/>
        <v>79.247</v>
      </c>
      <c r="AF127" t="b">
        <f t="shared" si="33"/>
        <v>0</v>
      </c>
    </row>
    <row r="128" spans="1:32" x14ac:dyDescent="0.3">
      <c r="A128" s="6">
        <v>270</v>
      </c>
      <c r="B128" s="6" t="b">
        <f t="shared" si="17"/>
        <v>0</v>
      </c>
      <c r="C128" s="6">
        <v>3</v>
      </c>
      <c r="D128" s="6" t="b">
        <f t="shared" si="18"/>
        <v>0</v>
      </c>
      <c r="E128" s="6">
        <v>7</v>
      </c>
      <c r="F128" s="6" t="b">
        <f t="shared" si="19"/>
        <v>0</v>
      </c>
      <c r="G128" s="6">
        <v>156</v>
      </c>
      <c r="H128" s="6" t="b">
        <f t="shared" si="20"/>
        <v>0</v>
      </c>
      <c r="I128" s="6">
        <v>4.5999999999999996</v>
      </c>
      <c r="J128" s="6" t="b">
        <f t="shared" si="21"/>
        <v>0</v>
      </c>
      <c r="K128" s="6">
        <v>2.94</v>
      </c>
      <c r="L128" s="6" t="b">
        <f t="shared" si="22"/>
        <v>0</v>
      </c>
      <c r="M128" s="6">
        <v>176</v>
      </c>
      <c r="N128" s="6" t="b">
        <f t="shared" si="23"/>
        <v>0</v>
      </c>
      <c r="O128" s="6">
        <v>15</v>
      </c>
      <c r="P128" s="6" t="b">
        <f t="shared" si="24"/>
        <v>0</v>
      </c>
      <c r="Q128" s="6">
        <v>95</v>
      </c>
      <c r="R128" s="6" t="b">
        <f t="shared" si="25"/>
        <v>0</v>
      </c>
      <c r="S128" s="6">
        <v>13</v>
      </c>
      <c r="T128" s="6" t="b">
        <f t="shared" si="26"/>
        <v>0</v>
      </c>
      <c r="U128" s="6">
        <v>3.5000000000000001E-3</v>
      </c>
      <c r="V128" s="6" t="b">
        <f t="shared" si="27"/>
        <v>0</v>
      </c>
      <c r="W128" s="6">
        <v>79</v>
      </c>
      <c r="X128" s="6" t="b">
        <f t="shared" si="28"/>
        <v>0</v>
      </c>
      <c r="Y128" s="6">
        <v>77</v>
      </c>
      <c r="Z128" s="6" t="b">
        <f t="shared" si="29"/>
        <v>0</v>
      </c>
      <c r="AA128" s="6">
        <v>29.443999999999999</v>
      </c>
      <c r="AB128" s="6" t="b">
        <f t="shared" si="30"/>
        <v>0</v>
      </c>
      <c r="AC128" s="6">
        <v>25.393999999999998</v>
      </c>
      <c r="AD128" s="8" t="b">
        <f t="shared" si="31"/>
        <v>0</v>
      </c>
      <c r="AE128" s="8">
        <f t="shared" si="32"/>
        <v>4.0500000000000007</v>
      </c>
      <c r="AF128" t="b">
        <f t="shared" si="33"/>
        <v>0</v>
      </c>
    </row>
    <row r="129" spans="1:32" x14ac:dyDescent="0.3">
      <c r="A129" s="6">
        <v>400</v>
      </c>
      <c r="B129" s="6" t="b">
        <f t="shared" si="17"/>
        <v>0</v>
      </c>
      <c r="C129" s="6">
        <v>4</v>
      </c>
      <c r="D129" s="6" t="b">
        <f t="shared" si="18"/>
        <v>0</v>
      </c>
      <c r="E129" s="6">
        <v>10</v>
      </c>
      <c r="F129" s="6" t="b">
        <f t="shared" si="19"/>
        <v>0</v>
      </c>
      <c r="G129" s="6">
        <v>142</v>
      </c>
      <c r="H129" s="6" t="b">
        <f t="shared" si="20"/>
        <v>0</v>
      </c>
      <c r="I129" s="6">
        <v>2.8</v>
      </c>
      <c r="J129" s="6" t="b">
        <f t="shared" si="21"/>
        <v>0</v>
      </c>
      <c r="K129" s="6">
        <v>2.94</v>
      </c>
      <c r="L129" s="6" t="b">
        <f t="shared" si="22"/>
        <v>0</v>
      </c>
      <c r="M129" s="6">
        <v>220</v>
      </c>
      <c r="N129" s="6" t="b">
        <f t="shared" si="23"/>
        <v>0</v>
      </c>
      <c r="O129" s="6">
        <v>10</v>
      </c>
      <c r="P129" s="6" t="b">
        <f t="shared" si="24"/>
        <v>0</v>
      </c>
      <c r="Q129" s="6">
        <v>84</v>
      </c>
      <c r="R129" s="6" t="b">
        <f t="shared" si="25"/>
        <v>0</v>
      </c>
      <c r="S129" s="6">
        <v>13</v>
      </c>
      <c r="T129" s="6" t="b">
        <f t="shared" si="26"/>
        <v>0</v>
      </c>
      <c r="U129" s="6">
        <v>2.1000000000000003E-3</v>
      </c>
      <c r="V129" s="6" t="b">
        <f t="shared" si="27"/>
        <v>0</v>
      </c>
      <c r="W129" s="6">
        <v>78</v>
      </c>
      <c r="X129" s="6" t="b">
        <f t="shared" si="28"/>
        <v>0</v>
      </c>
      <c r="Y129" s="6">
        <v>64</v>
      </c>
      <c r="Z129" s="6" t="b">
        <f t="shared" si="29"/>
        <v>0</v>
      </c>
      <c r="AA129" s="6">
        <v>64.120999999999995</v>
      </c>
      <c r="AB129" s="6" t="b">
        <f t="shared" si="30"/>
        <v>0</v>
      </c>
      <c r="AC129" s="6">
        <v>21.952999999999999</v>
      </c>
      <c r="AD129" s="8" t="b">
        <f t="shared" si="31"/>
        <v>0</v>
      </c>
      <c r="AE129" s="8">
        <f t="shared" si="32"/>
        <v>42.167999999999992</v>
      </c>
      <c r="AF129" t="b">
        <f t="shared" si="33"/>
        <v>0</v>
      </c>
    </row>
    <row r="130" spans="1:32" x14ac:dyDescent="0.3">
      <c r="A130" s="6">
        <v>260</v>
      </c>
      <c r="B130" s="6" t="b">
        <f t="shared" si="17"/>
        <v>0</v>
      </c>
      <c r="C130" s="6">
        <v>3</v>
      </c>
      <c r="D130" s="6" t="b">
        <f t="shared" si="18"/>
        <v>0</v>
      </c>
      <c r="E130" s="6">
        <v>7</v>
      </c>
      <c r="F130" s="6" t="b">
        <f t="shared" si="19"/>
        <v>0</v>
      </c>
      <c r="G130" s="6">
        <v>165</v>
      </c>
      <c r="H130" s="6" t="b">
        <f t="shared" si="20"/>
        <v>0</v>
      </c>
      <c r="I130" s="6">
        <v>1.4</v>
      </c>
      <c r="J130" s="6" t="b">
        <f t="shared" si="21"/>
        <v>0</v>
      </c>
      <c r="K130" s="6">
        <v>2.94</v>
      </c>
      <c r="L130" s="6" t="b">
        <f t="shared" si="22"/>
        <v>0</v>
      </c>
      <c r="M130" s="6">
        <v>44</v>
      </c>
      <c r="N130" s="6" t="b">
        <f t="shared" si="23"/>
        <v>0</v>
      </c>
      <c r="O130" s="6">
        <v>6</v>
      </c>
      <c r="P130" s="6" t="b">
        <f t="shared" si="24"/>
        <v>0</v>
      </c>
      <c r="Q130" s="6">
        <v>59</v>
      </c>
      <c r="R130" s="6" t="b">
        <f t="shared" si="25"/>
        <v>0</v>
      </c>
      <c r="S130" s="6">
        <v>19</v>
      </c>
      <c r="T130" s="6" t="b">
        <f t="shared" si="26"/>
        <v>0</v>
      </c>
      <c r="U130" s="6">
        <v>1.6999999999999999E-3</v>
      </c>
      <c r="V130" s="6" t="b">
        <f t="shared" si="27"/>
        <v>0</v>
      </c>
      <c r="W130" s="6">
        <v>56</v>
      </c>
      <c r="X130" s="6" t="b">
        <f t="shared" si="28"/>
        <v>0</v>
      </c>
      <c r="Y130" s="6">
        <v>109</v>
      </c>
      <c r="Z130" s="6" t="b">
        <f t="shared" si="29"/>
        <v>0</v>
      </c>
      <c r="AA130" s="6">
        <v>9.5180000000000007</v>
      </c>
      <c r="AB130" s="6" t="b">
        <f t="shared" si="30"/>
        <v>0</v>
      </c>
      <c r="AC130" s="6">
        <v>3.456</v>
      </c>
      <c r="AD130" s="8" t="b">
        <f t="shared" si="31"/>
        <v>0</v>
      </c>
      <c r="AE130" s="8">
        <f t="shared" si="32"/>
        <v>6.0620000000000012</v>
      </c>
      <c r="AF130" t="b">
        <f t="shared" si="33"/>
        <v>0</v>
      </c>
    </row>
    <row r="131" spans="1:32" x14ac:dyDescent="0.3">
      <c r="A131" s="6">
        <v>300</v>
      </c>
      <c r="B131" s="6" t="b">
        <f t="shared" si="17"/>
        <v>0</v>
      </c>
      <c r="C131" s="6">
        <v>3</v>
      </c>
      <c r="D131" s="6" t="b">
        <f t="shared" si="18"/>
        <v>0</v>
      </c>
      <c r="E131" s="6">
        <v>8</v>
      </c>
      <c r="F131" s="6" t="b">
        <f t="shared" si="19"/>
        <v>0</v>
      </c>
      <c r="G131" s="6">
        <v>135</v>
      </c>
      <c r="H131" s="6" t="b">
        <f t="shared" si="20"/>
        <v>0</v>
      </c>
      <c r="I131" s="6">
        <v>1.5</v>
      </c>
      <c r="J131" s="6" t="b">
        <f t="shared" si="21"/>
        <v>0</v>
      </c>
      <c r="K131" s="6">
        <v>2.94</v>
      </c>
      <c r="L131" s="6" t="b">
        <f t="shared" si="22"/>
        <v>0</v>
      </c>
      <c r="M131" s="6">
        <v>234</v>
      </c>
      <c r="N131" s="6" t="b">
        <f t="shared" si="23"/>
        <v>0</v>
      </c>
      <c r="O131" s="6">
        <v>5</v>
      </c>
      <c r="P131" s="6" t="b">
        <f t="shared" si="24"/>
        <v>0</v>
      </c>
      <c r="Q131" s="6">
        <v>63</v>
      </c>
      <c r="R131" s="6" t="b">
        <f t="shared" si="25"/>
        <v>0</v>
      </c>
      <c r="S131" s="6">
        <v>12</v>
      </c>
      <c r="T131" s="6" t="b">
        <f t="shared" si="26"/>
        <v>0</v>
      </c>
      <c r="U131" s="6">
        <v>1.8E-3</v>
      </c>
      <c r="V131" s="6" t="b">
        <f t="shared" si="27"/>
        <v>0</v>
      </c>
      <c r="W131" s="6">
        <v>83</v>
      </c>
      <c r="X131" s="6" t="b">
        <f t="shared" si="28"/>
        <v>0</v>
      </c>
      <c r="Y131" s="6">
        <v>52</v>
      </c>
      <c r="Z131" s="6" t="b">
        <f t="shared" si="29"/>
        <v>0</v>
      </c>
      <c r="AA131" s="6">
        <v>13.478999999999999</v>
      </c>
      <c r="AB131" s="6" t="b">
        <f t="shared" si="30"/>
        <v>0</v>
      </c>
      <c r="AC131" s="6">
        <v>7.39</v>
      </c>
      <c r="AD131" s="8" t="b">
        <f t="shared" si="31"/>
        <v>0</v>
      </c>
      <c r="AE131" s="8">
        <f t="shared" si="32"/>
        <v>6.0889999999999995</v>
      </c>
      <c r="AF131" t="b">
        <f t="shared" si="33"/>
        <v>0</v>
      </c>
    </row>
    <row r="132" spans="1:32" x14ac:dyDescent="0.3">
      <c r="A132" s="6">
        <v>330</v>
      </c>
      <c r="B132" s="6" t="b">
        <f t="shared" ref="B132:B186" si="34">OR(A132&lt;$A$197,A132&gt;$A$196)</f>
        <v>0</v>
      </c>
      <c r="C132" s="6">
        <v>3</v>
      </c>
      <c r="D132" s="6" t="b">
        <f t="shared" ref="D132:D186" si="35">OR(C132&lt;$C$197,C132&gt;$C$196)</f>
        <v>0</v>
      </c>
      <c r="E132" s="6">
        <v>3</v>
      </c>
      <c r="F132" s="6" t="b">
        <f t="shared" ref="F132:F187" si="36">OR(E132&lt;$E$197,E132&gt;$E$196)</f>
        <v>0</v>
      </c>
      <c r="G132" s="6">
        <v>156</v>
      </c>
      <c r="H132" s="6" t="b">
        <f t="shared" ref="H132:H187" si="37">OR(G132&lt;$G$197,G132&gt;$G$196)</f>
        <v>0</v>
      </c>
      <c r="I132" s="6">
        <v>4.7</v>
      </c>
      <c r="J132" s="6" t="b">
        <f t="shared" ref="J132:J187" si="38">OR(I132&lt;$I$197,I132&gt;$I$196)</f>
        <v>0</v>
      </c>
      <c r="K132" s="6">
        <v>2.94</v>
      </c>
      <c r="L132" s="6" t="b">
        <f t="shared" ref="L132:L187" si="39">OR(K132&lt;$K$197,K132&gt;$K$196)</f>
        <v>0</v>
      </c>
      <c r="M132" s="6">
        <v>286</v>
      </c>
      <c r="N132" s="6" t="b">
        <f t="shared" ref="N132:N187" si="40">OR(M132&lt;$M$197,M132&gt;$M$196)</f>
        <v>0</v>
      </c>
      <c r="O132" s="6">
        <v>5</v>
      </c>
      <c r="P132" s="6" t="b">
        <f t="shared" ref="P132:P187" si="41">OR(O132&lt;$O$197,O132&gt;$O$196)</f>
        <v>0</v>
      </c>
      <c r="Q132" s="6">
        <v>61</v>
      </c>
      <c r="R132" s="6" t="b">
        <f t="shared" ref="R132:R187" si="42">OR(Q132&lt;$Q$197,Q132&gt;$Q$196)</f>
        <v>0</v>
      </c>
      <c r="S132" s="6">
        <v>11</v>
      </c>
      <c r="T132" s="6" t="b">
        <f t="shared" ref="T132:T187" si="43">OR(S132&lt;$S$197,S132&gt;$S$196)</f>
        <v>0</v>
      </c>
      <c r="U132" s="6">
        <v>1.6999999999999999E-3</v>
      </c>
      <c r="V132" s="6" t="b">
        <f t="shared" ref="V132:V187" si="44">OR(U132&lt;$U$197,U132&gt;$U$196)</f>
        <v>0</v>
      </c>
      <c r="W132" s="6">
        <v>101</v>
      </c>
      <c r="X132" s="6" t="b">
        <f t="shared" ref="X132:X187" si="45">OR(W132&lt;$W$197,W132&gt;$W$196)</f>
        <v>0</v>
      </c>
      <c r="Y132" s="6">
        <v>55</v>
      </c>
      <c r="Z132" s="6" t="b">
        <f t="shared" ref="Z132:Z187" si="46">OR(Y132&lt;$Y$197,Y132&gt;$Y$196)</f>
        <v>0</v>
      </c>
      <c r="AA132" s="6">
        <v>43.485999999999997</v>
      </c>
      <c r="AB132" s="6" t="b">
        <f t="shared" ref="AB132:AB187" si="47">OR(AA132&lt;$AA$197,AA132&gt;$AA$196)</f>
        <v>0</v>
      </c>
      <c r="AC132" s="6">
        <v>30.359000000000002</v>
      </c>
      <c r="AD132" s="8" t="b">
        <f t="shared" ref="AD132:AD187" si="48">OR(AC132&lt;$AC$197,AC132&gt;$AC$196)</f>
        <v>0</v>
      </c>
      <c r="AE132" s="8">
        <f t="shared" ref="AE132:AE187" si="49">AA132-AC132</f>
        <v>13.126999999999995</v>
      </c>
      <c r="AF132" t="b">
        <f t="shared" ref="AF132:AF187" si="50">OR(AE132&lt;$AE$197,AE132&gt;$AE$196)</f>
        <v>0</v>
      </c>
    </row>
    <row r="133" spans="1:32" x14ac:dyDescent="0.3">
      <c r="A133" s="6">
        <v>310</v>
      </c>
      <c r="B133" s="6" t="b">
        <f t="shared" si="34"/>
        <v>0</v>
      </c>
      <c r="C133" s="6">
        <v>3</v>
      </c>
      <c r="D133" s="6" t="b">
        <f t="shared" si="35"/>
        <v>0</v>
      </c>
      <c r="E133" s="6">
        <v>3</v>
      </c>
      <c r="F133" s="6" t="b">
        <f t="shared" si="36"/>
        <v>0</v>
      </c>
      <c r="G133" s="6">
        <v>157</v>
      </c>
      <c r="H133" s="6" t="b">
        <f t="shared" si="37"/>
        <v>0</v>
      </c>
      <c r="I133" s="6">
        <v>4.5</v>
      </c>
      <c r="J133" s="6" t="b">
        <f t="shared" si="38"/>
        <v>0</v>
      </c>
      <c r="K133" s="6">
        <v>2.94</v>
      </c>
      <c r="L133" s="6" t="b">
        <f t="shared" si="39"/>
        <v>0</v>
      </c>
      <c r="M133" s="6">
        <v>293</v>
      </c>
      <c r="N133" s="6" t="b">
        <f t="shared" si="40"/>
        <v>0</v>
      </c>
      <c r="O133" s="6">
        <v>21</v>
      </c>
      <c r="P133" s="6" t="b">
        <f t="shared" si="41"/>
        <v>0</v>
      </c>
      <c r="Q133" s="6">
        <v>106</v>
      </c>
      <c r="R133" s="6" t="b">
        <f t="shared" si="42"/>
        <v>0</v>
      </c>
      <c r="S133" s="6">
        <v>21</v>
      </c>
      <c r="T133" s="6" t="b">
        <f t="shared" si="43"/>
        <v>0</v>
      </c>
      <c r="U133" s="6">
        <v>3.0000000000000001E-3</v>
      </c>
      <c r="V133" s="6" t="b">
        <f t="shared" si="44"/>
        <v>0</v>
      </c>
      <c r="W133" s="6">
        <v>74</v>
      </c>
      <c r="X133" s="6" t="b">
        <f t="shared" si="45"/>
        <v>0</v>
      </c>
      <c r="Y133" s="6">
        <v>83</v>
      </c>
      <c r="Z133" s="6" t="b">
        <f t="shared" si="46"/>
        <v>0</v>
      </c>
      <c r="AA133" s="6">
        <v>74.263999999999996</v>
      </c>
      <c r="AB133" s="6" t="b">
        <f t="shared" si="47"/>
        <v>0</v>
      </c>
      <c r="AC133" s="6">
        <v>9.9710000000000001</v>
      </c>
      <c r="AD133" s="8" t="b">
        <f t="shared" si="48"/>
        <v>0</v>
      </c>
      <c r="AE133" s="8">
        <f t="shared" si="49"/>
        <v>64.292999999999992</v>
      </c>
      <c r="AF133" t="b">
        <f t="shared" si="50"/>
        <v>0</v>
      </c>
    </row>
    <row r="134" spans="1:32" x14ac:dyDescent="0.3">
      <c r="A134" s="6">
        <v>190</v>
      </c>
      <c r="B134" s="6" t="b">
        <f t="shared" si="34"/>
        <v>0</v>
      </c>
      <c r="C134" s="6">
        <v>3</v>
      </c>
      <c r="D134" s="6" t="b">
        <f t="shared" si="35"/>
        <v>0</v>
      </c>
      <c r="E134" s="6">
        <v>5</v>
      </c>
      <c r="F134" s="6" t="b">
        <f t="shared" si="36"/>
        <v>0</v>
      </c>
      <c r="G134" s="6">
        <v>123</v>
      </c>
      <c r="H134" s="6" t="b">
        <f t="shared" si="37"/>
        <v>0</v>
      </c>
      <c r="I134" s="6">
        <v>5</v>
      </c>
      <c r="J134" s="6" t="b">
        <f t="shared" si="38"/>
        <v>0</v>
      </c>
      <c r="K134" s="6">
        <v>2.94</v>
      </c>
      <c r="L134" s="6" t="b">
        <f t="shared" si="39"/>
        <v>0</v>
      </c>
      <c r="M134" s="6">
        <v>155</v>
      </c>
      <c r="N134" s="6" t="b">
        <f t="shared" si="40"/>
        <v>0</v>
      </c>
      <c r="O134" s="6">
        <v>10</v>
      </c>
      <c r="P134" s="6" t="b">
        <f t="shared" si="41"/>
        <v>0</v>
      </c>
      <c r="Q134" s="6">
        <v>73</v>
      </c>
      <c r="R134" s="6" t="b">
        <f t="shared" si="42"/>
        <v>0</v>
      </c>
      <c r="S134" s="6">
        <v>11</v>
      </c>
      <c r="T134" s="6" t="b">
        <f t="shared" si="43"/>
        <v>0</v>
      </c>
      <c r="U134" s="6">
        <v>3.5000000000000001E-3</v>
      </c>
      <c r="V134" s="6" t="b">
        <f t="shared" si="44"/>
        <v>0</v>
      </c>
      <c r="W134" s="6">
        <v>72</v>
      </c>
      <c r="X134" s="6" t="b">
        <f t="shared" si="45"/>
        <v>0</v>
      </c>
      <c r="Y134" s="6">
        <v>51</v>
      </c>
      <c r="Z134" s="6" t="b">
        <f t="shared" si="46"/>
        <v>0</v>
      </c>
      <c r="AA134" s="6">
        <v>9.1969999999999992</v>
      </c>
      <c r="AB134" s="6" t="b">
        <f t="shared" si="47"/>
        <v>0</v>
      </c>
      <c r="AC134" s="6">
        <v>8.0079999999999991</v>
      </c>
      <c r="AD134" s="8" t="b">
        <f t="shared" si="48"/>
        <v>0</v>
      </c>
      <c r="AE134" s="8">
        <f t="shared" si="49"/>
        <v>1.1890000000000001</v>
      </c>
      <c r="AF134" t="b">
        <f t="shared" si="50"/>
        <v>0</v>
      </c>
    </row>
    <row r="135" spans="1:32" x14ac:dyDescent="0.3">
      <c r="A135" s="6">
        <v>420</v>
      </c>
      <c r="B135" s="6" t="b">
        <f t="shared" si="34"/>
        <v>0</v>
      </c>
      <c r="C135" s="6">
        <v>10</v>
      </c>
      <c r="D135" s="6" t="b">
        <f t="shared" si="35"/>
        <v>1</v>
      </c>
      <c r="E135" s="6">
        <v>12</v>
      </c>
      <c r="F135" s="6" t="b">
        <f t="shared" si="36"/>
        <v>0</v>
      </c>
      <c r="G135" s="6">
        <v>167</v>
      </c>
      <c r="H135" s="6" t="b">
        <f t="shared" si="37"/>
        <v>0</v>
      </c>
      <c r="I135" s="6">
        <v>1.3</v>
      </c>
      <c r="J135" s="6" t="b">
        <f t="shared" si="38"/>
        <v>0</v>
      </c>
      <c r="K135" s="6">
        <v>2.94</v>
      </c>
      <c r="L135" s="6" t="b">
        <f t="shared" si="39"/>
        <v>0</v>
      </c>
      <c r="M135" s="6">
        <v>214</v>
      </c>
      <c r="N135" s="6" t="b">
        <f t="shared" si="40"/>
        <v>0</v>
      </c>
      <c r="O135" s="6">
        <v>5</v>
      </c>
      <c r="P135" s="6" t="b">
        <f t="shared" si="41"/>
        <v>0</v>
      </c>
      <c r="Q135" s="6">
        <v>45</v>
      </c>
      <c r="R135" s="6" t="b">
        <f t="shared" si="42"/>
        <v>0</v>
      </c>
      <c r="S135" s="6">
        <v>17</v>
      </c>
      <c r="T135" s="6" t="b">
        <f t="shared" si="43"/>
        <v>0</v>
      </c>
      <c r="U135" s="6">
        <v>1.6999999999999999E-3</v>
      </c>
      <c r="V135" s="6" t="b">
        <f t="shared" si="44"/>
        <v>0</v>
      </c>
      <c r="W135" s="6">
        <v>113</v>
      </c>
      <c r="X135" s="6" t="b">
        <f t="shared" si="45"/>
        <v>0</v>
      </c>
      <c r="Y135" s="6">
        <v>54</v>
      </c>
      <c r="Z135" s="6" t="b">
        <f t="shared" si="46"/>
        <v>0</v>
      </c>
      <c r="AA135" s="6">
        <v>155.76400000000001</v>
      </c>
      <c r="AB135" s="6" t="b">
        <f t="shared" si="47"/>
        <v>0</v>
      </c>
      <c r="AC135" s="6">
        <v>50.914000000000001</v>
      </c>
      <c r="AD135" s="8" t="b">
        <f t="shared" si="48"/>
        <v>0</v>
      </c>
      <c r="AE135" s="8">
        <f t="shared" si="49"/>
        <v>104.85000000000001</v>
      </c>
      <c r="AF135" t="b">
        <f t="shared" si="50"/>
        <v>0</v>
      </c>
    </row>
    <row r="136" spans="1:32" x14ac:dyDescent="0.3">
      <c r="A136" s="6">
        <v>250</v>
      </c>
      <c r="B136" s="6" t="b">
        <f t="shared" si="34"/>
        <v>0</v>
      </c>
      <c r="C136" s="6">
        <v>3</v>
      </c>
      <c r="D136" s="6" t="b">
        <f t="shared" si="35"/>
        <v>0</v>
      </c>
      <c r="E136" s="6">
        <v>6</v>
      </c>
      <c r="F136" s="6" t="b">
        <f t="shared" si="36"/>
        <v>0</v>
      </c>
      <c r="G136" s="6">
        <v>155</v>
      </c>
      <c r="H136" s="6" t="b">
        <f t="shared" si="37"/>
        <v>0</v>
      </c>
      <c r="I136" s="6">
        <v>2.2999999999999998</v>
      </c>
      <c r="J136" s="6" t="b">
        <f t="shared" si="38"/>
        <v>0</v>
      </c>
      <c r="K136" s="6">
        <v>2.94</v>
      </c>
      <c r="L136" s="6" t="b">
        <f t="shared" si="39"/>
        <v>0</v>
      </c>
      <c r="M136" s="6">
        <v>299</v>
      </c>
      <c r="N136" s="6" t="b">
        <f t="shared" si="40"/>
        <v>0</v>
      </c>
      <c r="O136" s="6">
        <v>5</v>
      </c>
      <c r="P136" s="6" t="b">
        <f t="shared" si="41"/>
        <v>0</v>
      </c>
      <c r="Q136" s="6">
        <v>37</v>
      </c>
      <c r="R136" s="6" t="b">
        <f t="shared" si="42"/>
        <v>0</v>
      </c>
      <c r="S136" s="6">
        <v>16</v>
      </c>
      <c r="T136" s="6" t="b">
        <f t="shared" si="43"/>
        <v>0</v>
      </c>
      <c r="U136" s="6">
        <v>2.2000000000000001E-3</v>
      </c>
      <c r="V136" s="6" t="b">
        <f t="shared" si="44"/>
        <v>0</v>
      </c>
      <c r="W136" s="6">
        <v>56</v>
      </c>
      <c r="X136" s="6" t="b">
        <f t="shared" si="45"/>
        <v>0</v>
      </c>
      <c r="Y136" s="6">
        <v>99</v>
      </c>
      <c r="Z136" s="6" t="b">
        <f t="shared" si="46"/>
        <v>0</v>
      </c>
      <c r="AA136" s="6">
        <v>21.030999999999999</v>
      </c>
      <c r="AB136" s="6" t="b">
        <f t="shared" si="47"/>
        <v>0</v>
      </c>
      <c r="AC136" s="6">
        <v>6.3049999999999997</v>
      </c>
      <c r="AD136" s="8" t="b">
        <f t="shared" si="48"/>
        <v>0</v>
      </c>
      <c r="AE136" s="8">
        <f t="shared" si="49"/>
        <v>14.725999999999999</v>
      </c>
      <c r="AF136" t="b">
        <f t="shared" si="50"/>
        <v>0</v>
      </c>
    </row>
    <row r="137" spans="1:32" x14ac:dyDescent="0.3">
      <c r="A137" s="6">
        <v>300</v>
      </c>
      <c r="B137" s="6" t="b">
        <f t="shared" si="34"/>
        <v>0</v>
      </c>
      <c r="C137" s="6">
        <v>3</v>
      </c>
      <c r="D137" s="6" t="b">
        <f t="shared" si="35"/>
        <v>0</v>
      </c>
      <c r="E137" s="6">
        <v>10</v>
      </c>
      <c r="F137" s="6" t="b">
        <f t="shared" si="36"/>
        <v>0</v>
      </c>
      <c r="G137" s="6">
        <v>149</v>
      </c>
      <c r="H137" s="6" t="b">
        <f t="shared" si="37"/>
        <v>0</v>
      </c>
      <c r="I137" s="6">
        <v>6.3</v>
      </c>
      <c r="J137" s="6" t="b">
        <f t="shared" si="38"/>
        <v>0</v>
      </c>
      <c r="K137" s="6">
        <v>2.94</v>
      </c>
      <c r="L137" s="6" t="b">
        <f t="shared" si="39"/>
        <v>0</v>
      </c>
      <c r="M137" s="6">
        <v>236</v>
      </c>
      <c r="N137" s="6" t="b">
        <f t="shared" si="40"/>
        <v>0</v>
      </c>
      <c r="O137" s="6">
        <v>10</v>
      </c>
      <c r="P137" s="6" t="b">
        <f t="shared" si="41"/>
        <v>0</v>
      </c>
      <c r="Q137" s="6">
        <v>73</v>
      </c>
      <c r="R137" s="6" t="b">
        <f t="shared" si="42"/>
        <v>0</v>
      </c>
      <c r="S137" s="6">
        <v>18</v>
      </c>
      <c r="T137" s="6" t="b">
        <f t="shared" si="43"/>
        <v>0</v>
      </c>
      <c r="U137" s="6">
        <v>2E-3</v>
      </c>
      <c r="V137" s="6" t="b">
        <f t="shared" si="44"/>
        <v>0</v>
      </c>
      <c r="W137" s="6">
        <v>95</v>
      </c>
      <c r="X137" s="6" t="b">
        <f t="shared" si="45"/>
        <v>0</v>
      </c>
      <c r="Y137" s="6">
        <v>54</v>
      </c>
      <c r="Z137" s="6" t="b">
        <f t="shared" si="46"/>
        <v>0</v>
      </c>
      <c r="AA137" s="6">
        <v>67.581000000000003</v>
      </c>
      <c r="AB137" s="6" t="b">
        <f t="shared" si="47"/>
        <v>0</v>
      </c>
      <c r="AC137" s="6">
        <v>4.6340000000000003</v>
      </c>
      <c r="AD137" s="8" t="b">
        <f t="shared" si="48"/>
        <v>0</v>
      </c>
      <c r="AE137" s="8">
        <f t="shared" si="49"/>
        <v>62.947000000000003</v>
      </c>
      <c r="AF137" t="b">
        <f t="shared" si="50"/>
        <v>0</v>
      </c>
    </row>
    <row r="138" spans="1:32" x14ac:dyDescent="0.3">
      <c r="A138" s="6">
        <v>304</v>
      </c>
      <c r="B138" s="6" t="b">
        <f t="shared" si="34"/>
        <v>0</v>
      </c>
      <c r="C138" s="6">
        <v>3</v>
      </c>
      <c r="D138" s="6" t="b">
        <f t="shared" si="35"/>
        <v>0</v>
      </c>
      <c r="E138" s="6">
        <v>6</v>
      </c>
      <c r="F138" s="6" t="b">
        <f t="shared" si="36"/>
        <v>0</v>
      </c>
      <c r="G138" s="6">
        <v>165</v>
      </c>
      <c r="H138" s="6" t="b">
        <f t="shared" si="37"/>
        <v>0</v>
      </c>
      <c r="I138" s="6">
        <v>3.4</v>
      </c>
      <c r="J138" s="6" t="b">
        <f t="shared" si="38"/>
        <v>0</v>
      </c>
      <c r="K138" s="6">
        <v>2.94</v>
      </c>
      <c r="L138" s="6" t="b">
        <f t="shared" si="39"/>
        <v>0</v>
      </c>
      <c r="M138" s="6">
        <v>78</v>
      </c>
      <c r="N138" s="6" t="b">
        <f t="shared" si="40"/>
        <v>0</v>
      </c>
      <c r="O138" s="6">
        <v>2</v>
      </c>
      <c r="P138" s="6" t="b">
        <f t="shared" si="41"/>
        <v>0</v>
      </c>
      <c r="Q138" s="6">
        <v>57</v>
      </c>
      <c r="R138" s="6" t="b">
        <f t="shared" si="42"/>
        <v>0</v>
      </c>
      <c r="S138" s="6">
        <v>10</v>
      </c>
      <c r="T138" s="6" t="b">
        <f t="shared" si="43"/>
        <v>0</v>
      </c>
      <c r="U138" s="6">
        <v>1.2999999999999999E-3</v>
      </c>
      <c r="V138" s="6" t="b">
        <f t="shared" si="44"/>
        <v>0</v>
      </c>
      <c r="W138" s="6">
        <v>164</v>
      </c>
      <c r="X138" s="6" t="b">
        <f t="shared" si="45"/>
        <v>1</v>
      </c>
      <c r="Y138" s="6">
        <v>1</v>
      </c>
      <c r="Z138" s="6" t="b">
        <f t="shared" si="46"/>
        <v>0</v>
      </c>
      <c r="AA138" s="6">
        <v>174.541</v>
      </c>
      <c r="AB138" s="6" t="b">
        <f t="shared" si="47"/>
        <v>0</v>
      </c>
      <c r="AC138" s="6">
        <v>7.1999999999999995E-2</v>
      </c>
      <c r="AD138" s="8" t="b">
        <f t="shared" si="48"/>
        <v>0</v>
      </c>
      <c r="AE138" s="8">
        <f t="shared" si="49"/>
        <v>174.46899999999999</v>
      </c>
      <c r="AF138" t="b">
        <f t="shared" si="50"/>
        <v>1</v>
      </c>
    </row>
    <row r="139" spans="1:32" x14ac:dyDescent="0.3">
      <c r="A139" s="6">
        <v>266</v>
      </c>
      <c r="B139" s="6" t="b">
        <f t="shared" si="34"/>
        <v>0</v>
      </c>
      <c r="C139" s="6">
        <v>3</v>
      </c>
      <c r="D139" s="6" t="b">
        <f t="shared" si="35"/>
        <v>0</v>
      </c>
      <c r="E139" s="6">
        <v>7</v>
      </c>
      <c r="F139" s="6" t="b">
        <f t="shared" si="36"/>
        <v>0</v>
      </c>
      <c r="G139" s="6">
        <v>165</v>
      </c>
      <c r="H139" s="6" t="b">
        <f t="shared" si="37"/>
        <v>0</v>
      </c>
      <c r="I139" s="6">
        <v>2.7</v>
      </c>
      <c r="J139" s="6" t="b">
        <f t="shared" si="38"/>
        <v>0</v>
      </c>
      <c r="K139" s="6">
        <v>2.94</v>
      </c>
      <c r="L139" s="6" t="b">
        <f t="shared" si="39"/>
        <v>0</v>
      </c>
      <c r="M139" s="6">
        <v>64</v>
      </c>
      <c r="N139" s="6" t="b">
        <f t="shared" si="40"/>
        <v>0</v>
      </c>
      <c r="O139" s="6">
        <v>3</v>
      </c>
      <c r="P139" s="6" t="b">
        <f t="shared" si="41"/>
        <v>0</v>
      </c>
      <c r="Q139" s="6">
        <v>32</v>
      </c>
      <c r="R139" s="6" t="b">
        <f t="shared" si="42"/>
        <v>0</v>
      </c>
      <c r="S139" s="6">
        <v>12</v>
      </c>
      <c r="T139" s="6" t="b">
        <f t="shared" si="43"/>
        <v>0</v>
      </c>
      <c r="U139" s="6">
        <v>2.1000000000000003E-3</v>
      </c>
      <c r="V139" s="6" t="b">
        <f t="shared" si="44"/>
        <v>0</v>
      </c>
      <c r="W139" s="6">
        <v>61</v>
      </c>
      <c r="X139" s="6" t="b">
        <f t="shared" si="45"/>
        <v>0</v>
      </c>
      <c r="Y139" s="6">
        <v>104</v>
      </c>
      <c r="Z139" s="6" t="b">
        <f t="shared" si="46"/>
        <v>0</v>
      </c>
      <c r="AA139" s="6">
        <v>19.061</v>
      </c>
      <c r="AB139" s="6" t="b">
        <f t="shared" si="47"/>
        <v>0</v>
      </c>
      <c r="AC139" s="6">
        <v>10.816000000000001</v>
      </c>
      <c r="AD139" s="8" t="b">
        <f t="shared" si="48"/>
        <v>0</v>
      </c>
      <c r="AE139" s="8">
        <f t="shared" si="49"/>
        <v>8.2449999999999992</v>
      </c>
      <c r="AF139" t="b">
        <f t="shared" si="50"/>
        <v>0</v>
      </c>
    </row>
    <row r="140" spans="1:32" x14ac:dyDescent="0.3">
      <c r="A140" s="6">
        <v>260</v>
      </c>
      <c r="B140" s="6" t="b">
        <f t="shared" si="34"/>
        <v>0</v>
      </c>
      <c r="C140" s="6">
        <v>3</v>
      </c>
      <c r="D140" s="6" t="b">
        <f t="shared" si="35"/>
        <v>0</v>
      </c>
      <c r="E140" s="6">
        <v>7</v>
      </c>
      <c r="F140" s="6" t="b">
        <f t="shared" si="36"/>
        <v>0</v>
      </c>
      <c r="G140" s="6">
        <v>165</v>
      </c>
      <c r="H140" s="6" t="b">
        <f t="shared" si="37"/>
        <v>0</v>
      </c>
      <c r="I140" s="6">
        <v>1.4</v>
      </c>
      <c r="J140" s="6" t="b">
        <f t="shared" si="38"/>
        <v>0</v>
      </c>
      <c r="K140" s="6">
        <v>2.94</v>
      </c>
      <c r="L140" s="6" t="b">
        <f t="shared" si="39"/>
        <v>0</v>
      </c>
      <c r="M140" s="6">
        <v>44</v>
      </c>
      <c r="N140" s="6" t="b">
        <f t="shared" si="40"/>
        <v>0</v>
      </c>
      <c r="O140" s="6">
        <v>6</v>
      </c>
      <c r="P140" s="6" t="b">
        <f t="shared" si="41"/>
        <v>0</v>
      </c>
      <c r="Q140" s="6">
        <v>59</v>
      </c>
      <c r="R140" s="6" t="b">
        <f t="shared" si="42"/>
        <v>0</v>
      </c>
      <c r="S140" s="6">
        <v>19</v>
      </c>
      <c r="T140" s="6" t="b">
        <f t="shared" si="43"/>
        <v>0</v>
      </c>
      <c r="U140" s="6">
        <v>1.6999999999999999E-3</v>
      </c>
      <c r="V140" s="6" t="b">
        <f t="shared" si="44"/>
        <v>0</v>
      </c>
      <c r="W140" s="6">
        <v>56</v>
      </c>
      <c r="X140" s="6" t="b">
        <f t="shared" si="45"/>
        <v>0</v>
      </c>
      <c r="Y140" s="6">
        <v>109</v>
      </c>
      <c r="Z140" s="6" t="b">
        <f t="shared" si="46"/>
        <v>0</v>
      </c>
      <c r="AA140" s="6">
        <v>9.5180000000000007</v>
      </c>
      <c r="AB140" s="6" t="b">
        <f t="shared" si="47"/>
        <v>0</v>
      </c>
      <c r="AC140" s="6">
        <v>3.456</v>
      </c>
      <c r="AD140" s="8" t="b">
        <f t="shared" si="48"/>
        <v>0</v>
      </c>
      <c r="AE140" s="8">
        <f t="shared" si="49"/>
        <v>6.0620000000000012</v>
      </c>
      <c r="AF140" t="b">
        <f t="shared" si="50"/>
        <v>0</v>
      </c>
    </row>
    <row r="141" spans="1:32" x14ac:dyDescent="0.3">
      <c r="A141" s="6">
        <v>300</v>
      </c>
      <c r="B141" s="6" t="b">
        <f t="shared" si="34"/>
        <v>0</v>
      </c>
      <c r="C141" s="6">
        <v>3</v>
      </c>
      <c r="D141" s="6" t="b">
        <f t="shared" si="35"/>
        <v>0</v>
      </c>
      <c r="E141" s="6">
        <v>8</v>
      </c>
      <c r="F141" s="6" t="b">
        <f t="shared" si="36"/>
        <v>0</v>
      </c>
      <c r="G141" s="6">
        <v>135</v>
      </c>
      <c r="H141" s="6" t="b">
        <f t="shared" si="37"/>
        <v>0</v>
      </c>
      <c r="I141" s="6">
        <v>1.5</v>
      </c>
      <c r="J141" s="6" t="b">
        <f t="shared" si="38"/>
        <v>0</v>
      </c>
      <c r="K141" s="6">
        <v>2.94</v>
      </c>
      <c r="L141" s="6" t="b">
        <f t="shared" si="39"/>
        <v>0</v>
      </c>
      <c r="M141" s="6">
        <v>234</v>
      </c>
      <c r="N141" s="6" t="b">
        <f t="shared" si="40"/>
        <v>0</v>
      </c>
      <c r="O141" s="6">
        <v>5</v>
      </c>
      <c r="P141" s="6" t="b">
        <f t="shared" si="41"/>
        <v>0</v>
      </c>
      <c r="Q141" s="6">
        <v>63</v>
      </c>
      <c r="R141" s="6" t="b">
        <f t="shared" si="42"/>
        <v>0</v>
      </c>
      <c r="S141" s="6">
        <v>12</v>
      </c>
      <c r="T141" s="6" t="b">
        <f t="shared" si="43"/>
        <v>0</v>
      </c>
      <c r="U141" s="6">
        <v>1.8E-3</v>
      </c>
      <c r="V141" s="6" t="b">
        <f t="shared" si="44"/>
        <v>0</v>
      </c>
      <c r="W141" s="6">
        <v>83</v>
      </c>
      <c r="X141" s="6" t="b">
        <f t="shared" si="45"/>
        <v>0</v>
      </c>
      <c r="Y141" s="6">
        <v>52</v>
      </c>
      <c r="Z141" s="6" t="b">
        <f t="shared" si="46"/>
        <v>0</v>
      </c>
      <c r="AA141" s="6">
        <v>13.478999999999999</v>
      </c>
      <c r="AB141" s="6" t="b">
        <f t="shared" si="47"/>
        <v>0</v>
      </c>
      <c r="AC141" s="6">
        <v>7.39</v>
      </c>
      <c r="AD141" s="8" t="b">
        <f t="shared" si="48"/>
        <v>0</v>
      </c>
      <c r="AE141" s="8">
        <f t="shared" si="49"/>
        <v>6.0889999999999995</v>
      </c>
      <c r="AF141" t="b">
        <f t="shared" si="50"/>
        <v>0</v>
      </c>
    </row>
    <row r="142" spans="1:32" x14ac:dyDescent="0.3">
      <c r="A142" s="6">
        <v>330</v>
      </c>
      <c r="B142" s="6" t="b">
        <f t="shared" si="34"/>
        <v>0</v>
      </c>
      <c r="C142" s="6">
        <v>5</v>
      </c>
      <c r="D142" s="6" t="b">
        <f t="shared" si="35"/>
        <v>0</v>
      </c>
      <c r="E142" s="6">
        <v>7</v>
      </c>
      <c r="F142" s="6" t="b">
        <f t="shared" si="36"/>
        <v>0</v>
      </c>
      <c r="G142" s="6">
        <v>0</v>
      </c>
      <c r="H142" s="6" t="b">
        <f t="shared" si="37"/>
        <v>0</v>
      </c>
      <c r="I142" s="6">
        <v>5</v>
      </c>
      <c r="J142" s="6" t="b">
        <f t="shared" si="38"/>
        <v>0</v>
      </c>
      <c r="K142" s="6">
        <v>2.94</v>
      </c>
      <c r="L142" s="6" t="b">
        <f t="shared" si="39"/>
        <v>0</v>
      </c>
      <c r="M142" s="6">
        <v>117</v>
      </c>
      <c r="N142" s="6" t="b">
        <f t="shared" si="40"/>
        <v>0</v>
      </c>
      <c r="O142" s="6">
        <v>21</v>
      </c>
      <c r="P142" s="6" t="b">
        <f t="shared" si="41"/>
        <v>0</v>
      </c>
      <c r="Q142" s="6">
        <v>81</v>
      </c>
      <c r="R142" s="6" t="b">
        <f t="shared" si="42"/>
        <v>0</v>
      </c>
      <c r="S142" s="6">
        <v>22</v>
      </c>
      <c r="T142" s="6" t="b">
        <f t="shared" si="43"/>
        <v>0</v>
      </c>
      <c r="U142" s="6">
        <v>3.2000000000000002E-3</v>
      </c>
      <c r="V142" s="6" t="b">
        <f t="shared" si="44"/>
        <v>0</v>
      </c>
      <c r="W142" s="6">
        <v>0</v>
      </c>
      <c r="X142" s="6" t="b">
        <f t="shared" si="45"/>
        <v>1</v>
      </c>
      <c r="Y142" s="6">
        <v>0</v>
      </c>
      <c r="Z142" s="6" t="b">
        <f t="shared" si="46"/>
        <v>0</v>
      </c>
      <c r="AA142" s="6">
        <v>11.42</v>
      </c>
      <c r="AB142" s="6" t="b">
        <f t="shared" si="47"/>
        <v>0</v>
      </c>
      <c r="AC142" s="6">
        <v>4.9020000000000001</v>
      </c>
      <c r="AD142" s="8" t="b">
        <f t="shared" si="48"/>
        <v>0</v>
      </c>
      <c r="AE142" s="8">
        <f t="shared" si="49"/>
        <v>6.5179999999999998</v>
      </c>
      <c r="AF142" t="b">
        <f t="shared" si="50"/>
        <v>0</v>
      </c>
    </row>
    <row r="143" spans="1:32" x14ac:dyDescent="0.3">
      <c r="A143" s="6">
        <v>501</v>
      </c>
      <c r="B143" s="6" t="b">
        <f t="shared" si="34"/>
        <v>0</v>
      </c>
      <c r="C143" s="6">
        <v>3</v>
      </c>
      <c r="D143" s="6" t="b">
        <f t="shared" si="35"/>
        <v>0</v>
      </c>
      <c r="E143" s="6">
        <v>6</v>
      </c>
      <c r="F143" s="6" t="b">
        <f t="shared" si="36"/>
        <v>0</v>
      </c>
      <c r="G143" s="6">
        <v>0</v>
      </c>
      <c r="H143" s="6" t="b">
        <f t="shared" si="37"/>
        <v>0</v>
      </c>
      <c r="I143" s="6">
        <v>4.7</v>
      </c>
      <c r="J143" s="6" t="b">
        <f t="shared" si="38"/>
        <v>0</v>
      </c>
      <c r="K143" s="6">
        <v>2.94</v>
      </c>
      <c r="L143" s="6" t="b">
        <f t="shared" si="39"/>
        <v>0</v>
      </c>
      <c r="M143" s="6">
        <v>0</v>
      </c>
      <c r="N143" s="6" t="b">
        <f t="shared" si="40"/>
        <v>0</v>
      </c>
      <c r="O143" s="6">
        <v>15</v>
      </c>
      <c r="P143" s="6" t="b">
        <f t="shared" si="41"/>
        <v>0</v>
      </c>
      <c r="Q143" s="6">
        <v>87</v>
      </c>
      <c r="R143" s="6" t="b">
        <f t="shared" si="42"/>
        <v>0</v>
      </c>
      <c r="S143" s="6">
        <v>13</v>
      </c>
      <c r="T143" s="6" t="b">
        <f t="shared" si="43"/>
        <v>0</v>
      </c>
      <c r="U143" s="6">
        <v>2E-3</v>
      </c>
      <c r="V143" s="6" t="b">
        <f t="shared" si="44"/>
        <v>0</v>
      </c>
      <c r="W143" s="6">
        <v>0</v>
      </c>
      <c r="X143" s="6" t="b">
        <f t="shared" si="45"/>
        <v>1</v>
      </c>
      <c r="Y143" s="6">
        <v>0</v>
      </c>
      <c r="Z143" s="6" t="b">
        <f t="shared" si="46"/>
        <v>0</v>
      </c>
      <c r="AA143" s="6">
        <v>39.29</v>
      </c>
      <c r="AB143" s="6" t="b">
        <f t="shared" si="47"/>
        <v>0</v>
      </c>
      <c r="AC143" s="6">
        <v>31.132999999999999</v>
      </c>
      <c r="AD143" s="8" t="b">
        <f t="shared" si="48"/>
        <v>0</v>
      </c>
      <c r="AE143" s="8">
        <f t="shared" si="49"/>
        <v>8.157</v>
      </c>
      <c r="AF143" t="b">
        <f t="shared" si="50"/>
        <v>0</v>
      </c>
    </row>
    <row r="144" spans="1:32" x14ac:dyDescent="0.3">
      <c r="A144" s="6">
        <v>490</v>
      </c>
      <c r="B144" s="6" t="b">
        <f t="shared" si="34"/>
        <v>0</v>
      </c>
      <c r="C144" s="6">
        <v>9</v>
      </c>
      <c r="D144" s="6" t="b">
        <f t="shared" si="35"/>
        <v>1</v>
      </c>
      <c r="E144" s="6">
        <v>9</v>
      </c>
      <c r="F144" s="6" t="b">
        <f t="shared" si="36"/>
        <v>0</v>
      </c>
      <c r="G144" s="6">
        <v>0</v>
      </c>
      <c r="H144" s="6" t="b">
        <f t="shared" si="37"/>
        <v>0</v>
      </c>
      <c r="I144" s="6">
        <v>1.3</v>
      </c>
      <c r="J144" s="6" t="b">
        <f t="shared" si="38"/>
        <v>0</v>
      </c>
      <c r="K144" s="6">
        <v>2.94</v>
      </c>
      <c r="L144" s="6" t="b">
        <f t="shared" si="39"/>
        <v>0</v>
      </c>
      <c r="M144" s="6">
        <v>214</v>
      </c>
      <c r="N144" s="6" t="b">
        <f t="shared" si="40"/>
        <v>0</v>
      </c>
      <c r="O144" s="6">
        <v>5</v>
      </c>
      <c r="P144" s="6" t="b">
        <f t="shared" si="41"/>
        <v>0</v>
      </c>
      <c r="Q144" s="6">
        <v>46</v>
      </c>
      <c r="R144" s="6" t="b">
        <f t="shared" si="42"/>
        <v>0</v>
      </c>
      <c r="S144" s="6">
        <v>14</v>
      </c>
      <c r="T144" s="6" t="b">
        <f t="shared" si="43"/>
        <v>0</v>
      </c>
      <c r="U144" s="6">
        <v>2.2000000000000001E-3</v>
      </c>
      <c r="V144" s="6" t="b">
        <f t="shared" si="44"/>
        <v>0</v>
      </c>
      <c r="W144" s="6">
        <v>0</v>
      </c>
      <c r="X144" s="6" t="b">
        <f t="shared" si="45"/>
        <v>1</v>
      </c>
      <c r="Y144" s="6">
        <v>0</v>
      </c>
      <c r="Z144" s="6" t="b">
        <f t="shared" si="46"/>
        <v>0</v>
      </c>
      <c r="AA144" s="6">
        <v>109.94499999999999</v>
      </c>
      <c r="AB144" s="6" t="b">
        <f t="shared" si="47"/>
        <v>0</v>
      </c>
      <c r="AC144" s="6">
        <v>22.498000000000001</v>
      </c>
      <c r="AD144" s="8" t="b">
        <f t="shared" si="48"/>
        <v>0</v>
      </c>
      <c r="AE144" s="8">
        <f t="shared" si="49"/>
        <v>87.446999999999989</v>
      </c>
      <c r="AF144" t="b">
        <f t="shared" si="50"/>
        <v>0</v>
      </c>
    </row>
    <row r="145" spans="1:32" x14ac:dyDescent="0.3">
      <c r="A145" s="6">
        <v>330</v>
      </c>
      <c r="B145" s="6" t="b">
        <f t="shared" si="34"/>
        <v>0</v>
      </c>
      <c r="C145" s="6">
        <v>3</v>
      </c>
      <c r="D145" s="6" t="b">
        <f t="shared" si="35"/>
        <v>0</v>
      </c>
      <c r="E145" s="6">
        <v>4</v>
      </c>
      <c r="F145" s="6" t="b">
        <f t="shared" si="36"/>
        <v>0</v>
      </c>
      <c r="G145" s="6">
        <v>153</v>
      </c>
      <c r="H145" s="6" t="b">
        <f t="shared" si="37"/>
        <v>0</v>
      </c>
      <c r="I145" s="6">
        <v>3.2</v>
      </c>
      <c r="J145" s="6" t="b">
        <f t="shared" si="38"/>
        <v>0</v>
      </c>
      <c r="K145" s="6">
        <v>2.94</v>
      </c>
      <c r="L145" s="6" t="b">
        <f t="shared" si="39"/>
        <v>0</v>
      </c>
      <c r="M145" s="6">
        <v>352</v>
      </c>
      <c r="N145" s="6" t="b">
        <f t="shared" si="40"/>
        <v>0</v>
      </c>
      <c r="O145" s="6">
        <v>7</v>
      </c>
      <c r="P145" s="6" t="b">
        <f t="shared" si="41"/>
        <v>0</v>
      </c>
      <c r="Q145" s="6">
        <v>113</v>
      </c>
      <c r="R145" s="6" t="b">
        <f t="shared" si="42"/>
        <v>0</v>
      </c>
      <c r="S145" s="6">
        <v>12</v>
      </c>
      <c r="T145" s="6" t="b">
        <f t="shared" si="43"/>
        <v>0</v>
      </c>
      <c r="U145" s="6">
        <v>2E-3</v>
      </c>
      <c r="V145" s="6" t="b">
        <f t="shared" si="44"/>
        <v>0</v>
      </c>
      <c r="W145" s="6">
        <v>103</v>
      </c>
      <c r="X145" s="6" t="b">
        <f t="shared" si="45"/>
        <v>0</v>
      </c>
      <c r="Y145" s="6">
        <v>50</v>
      </c>
      <c r="Z145" s="6" t="b">
        <f t="shared" si="46"/>
        <v>0</v>
      </c>
      <c r="AA145" s="6">
        <v>53.55</v>
      </c>
      <c r="AB145" s="6" t="b">
        <f t="shared" si="47"/>
        <v>0</v>
      </c>
      <c r="AC145" s="6">
        <v>21.864000000000001</v>
      </c>
      <c r="AD145" s="8" t="b">
        <f t="shared" si="48"/>
        <v>0</v>
      </c>
      <c r="AE145" s="8">
        <f t="shared" si="49"/>
        <v>31.685999999999996</v>
      </c>
      <c r="AF145" t="b">
        <f t="shared" si="50"/>
        <v>0</v>
      </c>
    </row>
    <row r="146" spans="1:32" x14ac:dyDescent="0.3">
      <c r="A146" s="6">
        <v>230</v>
      </c>
      <c r="B146" s="6" t="b">
        <f t="shared" si="34"/>
        <v>0</v>
      </c>
      <c r="C146" s="6">
        <v>3</v>
      </c>
      <c r="D146" s="6" t="b">
        <f t="shared" si="35"/>
        <v>0</v>
      </c>
      <c r="E146" s="6">
        <v>6</v>
      </c>
      <c r="F146" s="6" t="b">
        <f t="shared" si="36"/>
        <v>0</v>
      </c>
      <c r="G146" s="6">
        <v>157</v>
      </c>
      <c r="H146" s="6" t="b">
        <f t="shared" si="37"/>
        <v>0</v>
      </c>
      <c r="I146" s="6">
        <v>4</v>
      </c>
      <c r="J146" s="6" t="b">
        <f t="shared" si="38"/>
        <v>0</v>
      </c>
      <c r="K146" s="6">
        <v>2.94</v>
      </c>
      <c r="L146" s="6" t="b">
        <f t="shared" si="39"/>
        <v>0</v>
      </c>
      <c r="M146" s="6">
        <v>155</v>
      </c>
      <c r="N146" s="6" t="b">
        <f t="shared" si="40"/>
        <v>0</v>
      </c>
      <c r="O146" s="6">
        <v>10</v>
      </c>
      <c r="P146" s="6" t="b">
        <f t="shared" si="41"/>
        <v>0</v>
      </c>
      <c r="Q146" s="6">
        <v>71</v>
      </c>
      <c r="R146" s="6" t="b">
        <f t="shared" si="42"/>
        <v>0</v>
      </c>
      <c r="S146" s="6">
        <v>12</v>
      </c>
      <c r="T146" s="6" t="b">
        <f t="shared" si="43"/>
        <v>0</v>
      </c>
      <c r="U146" s="6">
        <v>3.5000000000000001E-3</v>
      </c>
      <c r="V146" s="6" t="b">
        <f t="shared" si="44"/>
        <v>0</v>
      </c>
      <c r="W146" s="6">
        <v>57</v>
      </c>
      <c r="X146" s="6" t="b">
        <f t="shared" si="45"/>
        <v>0</v>
      </c>
      <c r="Y146" s="6">
        <v>100</v>
      </c>
      <c r="Z146" s="6" t="b">
        <f t="shared" si="46"/>
        <v>0</v>
      </c>
      <c r="AA146" s="6">
        <v>15.802</v>
      </c>
      <c r="AB146" s="6" t="b">
        <f t="shared" si="47"/>
        <v>0</v>
      </c>
      <c r="AC146" s="6">
        <v>12.843</v>
      </c>
      <c r="AD146" s="8" t="b">
        <f t="shared" si="48"/>
        <v>0</v>
      </c>
      <c r="AE146" s="8">
        <f t="shared" si="49"/>
        <v>2.9589999999999996</v>
      </c>
      <c r="AF146" t="b">
        <f t="shared" si="50"/>
        <v>0</v>
      </c>
    </row>
    <row r="147" spans="1:32" x14ac:dyDescent="0.3">
      <c r="A147" s="6">
        <v>523</v>
      </c>
      <c r="B147" s="6" t="b">
        <f t="shared" si="34"/>
        <v>0</v>
      </c>
      <c r="C147" s="6">
        <v>9</v>
      </c>
      <c r="D147" s="6" t="b">
        <f t="shared" si="35"/>
        <v>1</v>
      </c>
      <c r="E147" s="6">
        <v>7</v>
      </c>
      <c r="F147" s="6" t="b">
        <f t="shared" si="36"/>
        <v>0</v>
      </c>
      <c r="G147" s="6">
        <v>160</v>
      </c>
      <c r="H147" s="6" t="b">
        <f t="shared" si="37"/>
        <v>0</v>
      </c>
      <c r="I147" s="6">
        <v>1.1000000000000001</v>
      </c>
      <c r="J147" s="6" t="b">
        <f t="shared" si="38"/>
        <v>0</v>
      </c>
      <c r="K147" s="6">
        <v>2.94</v>
      </c>
      <c r="L147" s="6" t="b">
        <f t="shared" si="39"/>
        <v>0</v>
      </c>
      <c r="M147" s="6">
        <v>137</v>
      </c>
      <c r="N147" s="6" t="b">
        <f t="shared" si="40"/>
        <v>0</v>
      </c>
      <c r="O147" s="6">
        <v>10</v>
      </c>
      <c r="P147" s="6" t="b">
        <f t="shared" si="41"/>
        <v>0</v>
      </c>
      <c r="Q147" s="6">
        <v>70</v>
      </c>
      <c r="R147" s="6" t="b">
        <f t="shared" si="42"/>
        <v>0</v>
      </c>
      <c r="S147" s="6">
        <v>15</v>
      </c>
      <c r="T147" s="6" t="b">
        <f t="shared" si="43"/>
        <v>0</v>
      </c>
      <c r="U147" s="6">
        <v>2.7000000000000001E-3</v>
      </c>
      <c r="V147" s="6" t="b">
        <f t="shared" si="44"/>
        <v>0</v>
      </c>
      <c r="W147" s="6">
        <v>105</v>
      </c>
      <c r="X147" s="6" t="b">
        <f t="shared" si="45"/>
        <v>0</v>
      </c>
      <c r="Y147" s="6">
        <v>55</v>
      </c>
      <c r="Z147" s="6" t="b">
        <f t="shared" si="46"/>
        <v>0</v>
      </c>
      <c r="AA147" s="6">
        <v>137.322</v>
      </c>
      <c r="AB147" s="6" t="b">
        <f t="shared" si="47"/>
        <v>0</v>
      </c>
      <c r="AC147" s="6">
        <v>32.054000000000002</v>
      </c>
      <c r="AD147" s="8" t="b">
        <f t="shared" si="48"/>
        <v>0</v>
      </c>
      <c r="AE147" s="8">
        <f t="shared" si="49"/>
        <v>105.268</v>
      </c>
      <c r="AF147" t="b">
        <f t="shared" si="50"/>
        <v>0</v>
      </c>
    </row>
    <row r="148" spans="1:32" x14ac:dyDescent="0.3">
      <c r="A148" s="6">
        <v>350</v>
      </c>
      <c r="B148" s="6" t="b">
        <f t="shared" si="34"/>
        <v>0</v>
      </c>
      <c r="C148" s="6">
        <v>3</v>
      </c>
      <c r="D148" s="6" t="b">
        <f t="shared" si="35"/>
        <v>0</v>
      </c>
      <c r="E148" s="6">
        <v>4</v>
      </c>
      <c r="F148" s="6" t="b">
        <f t="shared" si="36"/>
        <v>0</v>
      </c>
      <c r="G148" s="6">
        <v>151</v>
      </c>
      <c r="H148" s="6" t="b">
        <f t="shared" si="37"/>
        <v>0</v>
      </c>
      <c r="I148" s="6">
        <v>3</v>
      </c>
      <c r="J148" s="6" t="b">
        <f t="shared" si="38"/>
        <v>0</v>
      </c>
      <c r="K148" s="6">
        <v>2.94</v>
      </c>
      <c r="L148" s="6" t="b">
        <f t="shared" si="39"/>
        <v>0</v>
      </c>
      <c r="M148" s="6">
        <v>78</v>
      </c>
      <c r="N148" s="6" t="b">
        <f t="shared" si="40"/>
        <v>0</v>
      </c>
      <c r="O148" s="6">
        <v>5</v>
      </c>
      <c r="P148" s="6" t="b">
        <f t="shared" si="41"/>
        <v>0</v>
      </c>
      <c r="Q148" s="6">
        <v>56</v>
      </c>
      <c r="R148" s="6" t="b">
        <f t="shared" si="42"/>
        <v>0</v>
      </c>
      <c r="S148" s="6">
        <v>12</v>
      </c>
      <c r="T148" s="6" t="b">
        <f t="shared" si="43"/>
        <v>0</v>
      </c>
      <c r="U148" s="6">
        <v>1.9E-3</v>
      </c>
      <c r="V148" s="6" t="b">
        <f t="shared" si="44"/>
        <v>0</v>
      </c>
      <c r="W148" s="6">
        <v>80</v>
      </c>
      <c r="X148" s="6" t="b">
        <f t="shared" si="45"/>
        <v>0</v>
      </c>
      <c r="Y148" s="6">
        <v>71</v>
      </c>
      <c r="Z148" s="6" t="b">
        <f t="shared" si="46"/>
        <v>0</v>
      </c>
      <c r="AA148" s="6">
        <v>65.114000000000004</v>
      </c>
      <c r="AB148" s="6" t="b">
        <f t="shared" si="47"/>
        <v>0</v>
      </c>
      <c r="AC148" s="6">
        <v>20.933</v>
      </c>
      <c r="AD148" s="8" t="b">
        <f t="shared" si="48"/>
        <v>0</v>
      </c>
      <c r="AE148" s="8">
        <f t="shared" si="49"/>
        <v>44.181000000000004</v>
      </c>
      <c r="AF148" t="b">
        <f t="shared" si="50"/>
        <v>0</v>
      </c>
    </row>
    <row r="149" spans="1:32" x14ac:dyDescent="0.3">
      <c r="A149" s="6">
        <v>180</v>
      </c>
      <c r="B149" s="6" t="b">
        <f t="shared" si="34"/>
        <v>0</v>
      </c>
      <c r="C149" s="6">
        <v>3</v>
      </c>
      <c r="D149" s="6" t="b">
        <f t="shared" si="35"/>
        <v>0</v>
      </c>
      <c r="E149" s="6">
        <v>6</v>
      </c>
      <c r="F149" s="6" t="b">
        <f t="shared" si="36"/>
        <v>0</v>
      </c>
      <c r="G149" s="6">
        <v>157</v>
      </c>
      <c r="H149" s="6" t="b">
        <f t="shared" si="37"/>
        <v>0</v>
      </c>
      <c r="I149" s="6">
        <v>2.1</v>
      </c>
      <c r="J149" s="6" t="b">
        <f t="shared" si="38"/>
        <v>0</v>
      </c>
      <c r="K149" s="6">
        <v>2.94</v>
      </c>
      <c r="L149" s="6" t="b">
        <f t="shared" si="39"/>
        <v>0</v>
      </c>
      <c r="M149" s="6">
        <v>299</v>
      </c>
      <c r="N149" s="6" t="b">
        <f t="shared" si="40"/>
        <v>0</v>
      </c>
      <c r="O149" s="6">
        <v>5</v>
      </c>
      <c r="P149" s="6" t="b">
        <f t="shared" si="41"/>
        <v>0</v>
      </c>
      <c r="Q149" s="6">
        <v>54</v>
      </c>
      <c r="R149" s="6" t="b">
        <f t="shared" si="42"/>
        <v>0</v>
      </c>
      <c r="S149" s="6">
        <v>10</v>
      </c>
      <c r="T149" s="6" t="b">
        <f t="shared" si="43"/>
        <v>0</v>
      </c>
      <c r="U149" s="6">
        <v>2.2000000000000001E-3</v>
      </c>
      <c r="V149" s="6" t="b">
        <f t="shared" si="44"/>
        <v>0</v>
      </c>
      <c r="W149" s="6">
        <v>103</v>
      </c>
      <c r="X149" s="6" t="b">
        <f t="shared" si="45"/>
        <v>0</v>
      </c>
      <c r="Y149" s="6">
        <v>54</v>
      </c>
      <c r="Z149" s="6" t="b">
        <f t="shared" si="46"/>
        <v>0</v>
      </c>
      <c r="AA149" s="6">
        <v>33.375999999999998</v>
      </c>
      <c r="AB149" s="6" t="b">
        <f t="shared" si="47"/>
        <v>0</v>
      </c>
      <c r="AC149" s="6">
        <v>14.574</v>
      </c>
      <c r="AD149" s="8" t="b">
        <f t="shared" si="48"/>
        <v>0</v>
      </c>
      <c r="AE149" s="8">
        <f t="shared" si="49"/>
        <v>18.802</v>
      </c>
      <c r="AF149" t="b">
        <f t="shared" si="50"/>
        <v>0</v>
      </c>
    </row>
    <row r="150" spans="1:32" x14ac:dyDescent="0.3">
      <c r="A150" s="6">
        <v>326</v>
      </c>
      <c r="B150" s="6" t="b">
        <f t="shared" si="34"/>
        <v>0</v>
      </c>
      <c r="C150" s="6">
        <v>3</v>
      </c>
      <c r="D150" s="6" t="b">
        <f t="shared" si="35"/>
        <v>0</v>
      </c>
      <c r="E150" s="6">
        <v>5</v>
      </c>
      <c r="F150" s="6" t="b">
        <f t="shared" si="36"/>
        <v>0</v>
      </c>
      <c r="G150" s="6">
        <v>163</v>
      </c>
      <c r="H150" s="6" t="b">
        <f t="shared" si="37"/>
        <v>0</v>
      </c>
      <c r="I150" s="6">
        <v>3.5</v>
      </c>
      <c r="J150" s="6" t="b">
        <f t="shared" si="38"/>
        <v>0</v>
      </c>
      <c r="K150" s="6">
        <v>2.94</v>
      </c>
      <c r="L150" s="6" t="b">
        <f t="shared" si="39"/>
        <v>0</v>
      </c>
      <c r="M150" s="6">
        <v>269</v>
      </c>
      <c r="N150" s="6" t="b">
        <f t="shared" si="40"/>
        <v>0</v>
      </c>
      <c r="O150" s="6">
        <v>5</v>
      </c>
      <c r="P150" s="6" t="b">
        <f t="shared" si="41"/>
        <v>0</v>
      </c>
      <c r="Q150" s="6">
        <v>54</v>
      </c>
      <c r="R150" s="6" t="b">
        <f t="shared" si="42"/>
        <v>0</v>
      </c>
      <c r="S150" s="6">
        <v>13</v>
      </c>
      <c r="T150" s="6" t="b">
        <f t="shared" si="43"/>
        <v>0</v>
      </c>
      <c r="U150" s="6">
        <v>1.5E-3</v>
      </c>
      <c r="V150" s="6" t="b">
        <f t="shared" si="44"/>
        <v>0</v>
      </c>
      <c r="W150" s="6">
        <v>101</v>
      </c>
      <c r="X150" s="6" t="b">
        <f t="shared" si="45"/>
        <v>0</v>
      </c>
      <c r="Y150" s="6">
        <v>62</v>
      </c>
      <c r="Z150" s="6" t="b">
        <f t="shared" si="46"/>
        <v>0</v>
      </c>
      <c r="AA150" s="6">
        <v>41.317999999999998</v>
      </c>
      <c r="AB150" s="6" t="b">
        <f t="shared" si="47"/>
        <v>0</v>
      </c>
      <c r="AC150" s="6">
        <v>3.665</v>
      </c>
      <c r="AD150" s="8" t="b">
        <f t="shared" si="48"/>
        <v>0</v>
      </c>
      <c r="AE150" s="8">
        <f t="shared" si="49"/>
        <v>37.652999999999999</v>
      </c>
      <c r="AF150" t="b">
        <f t="shared" si="50"/>
        <v>0</v>
      </c>
    </row>
    <row r="151" spans="1:32" x14ac:dyDescent="0.3">
      <c r="A151" s="6">
        <v>310</v>
      </c>
      <c r="B151" s="6" t="b">
        <f t="shared" si="34"/>
        <v>0</v>
      </c>
      <c r="C151" s="6">
        <v>3</v>
      </c>
      <c r="D151" s="6" t="b">
        <f t="shared" si="35"/>
        <v>0</v>
      </c>
      <c r="E151" s="6">
        <v>16</v>
      </c>
      <c r="F151" s="6" t="b">
        <f t="shared" si="36"/>
        <v>1</v>
      </c>
      <c r="G151" s="6">
        <v>160</v>
      </c>
      <c r="H151" s="6" t="b">
        <f t="shared" si="37"/>
        <v>0</v>
      </c>
      <c r="I151" s="6">
        <v>6.1</v>
      </c>
      <c r="J151" s="6" t="b">
        <f t="shared" si="38"/>
        <v>0</v>
      </c>
      <c r="K151" s="6">
        <v>2.94</v>
      </c>
      <c r="L151" s="6" t="b">
        <f t="shared" si="39"/>
        <v>0</v>
      </c>
      <c r="M151" s="6">
        <v>53</v>
      </c>
      <c r="N151" s="6" t="b">
        <f t="shared" si="40"/>
        <v>0</v>
      </c>
      <c r="O151" s="6">
        <v>5</v>
      </c>
      <c r="P151" s="6" t="b">
        <f t="shared" si="41"/>
        <v>0</v>
      </c>
      <c r="Q151" s="6">
        <v>64</v>
      </c>
      <c r="R151" s="6" t="b">
        <f t="shared" si="42"/>
        <v>0</v>
      </c>
      <c r="S151" s="6">
        <v>11</v>
      </c>
      <c r="T151" s="6" t="b">
        <f t="shared" si="43"/>
        <v>0</v>
      </c>
      <c r="U151" s="6">
        <v>2.5000000000000001E-3</v>
      </c>
      <c r="V151" s="6" t="b">
        <f t="shared" si="44"/>
        <v>0</v>
      </c>
      <c r="W151" s="6">
        <v>129</v>
      </c>
      <c r="X151" s="6" t="b">
        <f t="shared" si="45"/>
        <v>0</v>
      </c>
      <c r="Y151" s="6">
        <v>31</v>
      </c>
      <c r="Z151" s="6" t="b">
        <f t="shared" si="46"/>
        <v>0</v>
      </c>
      <c r="AA151" s="6">
        <v>43.326000000000001</v>
      </c>
      <c r="AB151" s="6" t="b">
        <f t="shared" si="47"/>
        <v>0</v>
      </c>
      <c r="AC151" s="6">
        <v>33.582999999999998</v>
      </c>
      <c r="AD151" s="8" t="b">
        <f t="shared" si="48"/>
        <v>0</v>
      </c>
      <c r="AE151" s="8">
        <f t="shared" si="49"/>
        <v>9.7430000000000021</v>
      </c>
      <c r="AF151" t="b">
        <f t="shared" si="50"/>
        <v>0</v>
      </c>
    </row>
    <row r="152" spans="1:32" x14ac:dyDescent="0.3">
      <c r="A152" s="6">
        <v>230</v>
      </c>
      <c r="B152" s="6" t="b">
        <f t="shared" si="34"/>
        <v>0</v>
      </c>
      <c r="C152" s="6">
        <v>4</v>
      </c>
      <c r="D152" s="6" t="b">
        <f t="shared" si="35"/>
        <v>0</v>
      </c>
      <c r="E152" s="6">
        <v>4</v>
      </c>
      <c r="F152" s="6" t="b">
        <f t="shared" si="36"/>
        <v>0</v>
      </c>
      <c r="G152" s="6">
        <v>150</v>
      </c>
      <c r="H152" s="6" t="b">
        <f t="shared" si="37"/>
        <v>0</v>
      </c>
      <c r="I152" s="6">
        <v>10</v>
      </c>
      <c r="J152" s="6" t="b">
        <f t="shared" si="38"/>
        <v>1</v>
      </c>
      <c r="K152" s="6">
        <v>2.94</v>
      </c>
      <c r="L152" s="6" t="b">
        <f t="shared" si="39"/>
        <v>0</v>
      </c>
      <c r="M152" s="6">
        <v>238</v>
      </c>
      <c r="N152" s="6" t="b">
        <f t="shared" si="40"/>
        <v>0</v>
      </c>
      <c r="O152" s="6">
        <v>5</v>
      </c>
      <c r="P152" s="6" t="b">
        <f t="shared" si="41"/>
        <v>0</v>
      </c>
      <c r="Q152" s="6">
        <v>67</v>
      </c>
      <c r="R152" s="6" t="b">
        <f t="shared" si="42"/>
        <v>0</v>
      </c>
      <c r="S152" s="6">
        <v>16</v>
      </c>
      <c r="T152" s="6" t="b">
        <f t="shared" si="43"/>
        <v>0</v>
      </c>
      <c r="U152" s="6">
        <v>1.4E-3</v>
      </c>
      <c r="V152" s="6" t="b">
        <f t="shared" si="44"/>
        <v>0</v>
      </c>
      <c r="W152" s="6">
        <v>61</v>
      </c>
      <c r="X152" s="6" t="b">
        <f t="shared" si="45"/>
        <v>0</v>
      </c>
      <c r="Y152" s="6">
        <v>89</v>
      </c>
      <c r="Z152" s="6" t="b">
        <f t="shared" si="46"/>
        <v>0</v>
      </c>
      <c r="AA152" s="6">
        <v>74.39</v>
      </c>
      <c r="AB152" s="6" t="b">
        <f t="shared" si="47"/>
        <v>0</v>
      </c>
      <c r="AC152" s="6">
        <v>42.036999999999999</v>
      </c>
      <c r="AD152" s="8" t="b">
        <f t="shared" si="48"/>
        <v>0</v>
      </c>
      <c r="AE152" s="8">
        <f t="shared" si="49"/>
        <v>32.353000000000002</v>
      </c>
      <c r="AF152" t="b">
        <f t="shared" si="50"/>
        <v>0</v>
      </c>
    </row>
    <row r="153" spans="1:32" x14ac:dyDescent="0.3">
      <c r="A153" s="6">
        <v>289</v>
      </c>
      <c r="B153" s="6" t="b">
        <f t="shared" si="34"/>
        <v>0</v>
      </c>
      <c r="C153" s="6">
        <v>3</v>
      </c>
      <c r="D153" s="6" t="b">
        <f t="shared" si="35"/>
        <v>0</v>
      </c>
      <c r="E153" s="6">
        <v>6</v>
      </c>
      <c r="F153" s="6" t="b">
        <f t="shared" si="36"/>
        <v>0</v>
      </c>
      <c r="G153" s="6">
        <v>148</v>
      </c>
      <c r="H153" s="6" t="b">
        <f t="shared" si="37"/>
        <v>0</v>
      </c>
      <c r="I153" s="6">
        <v>5</v>
      </c>
      <c r="J153" s="6" t="b">
        <f t="shared" si="38"/>
        <v>0</v>
      </c>
      <c r="K153" s="6">
        <v>2.94</v>
      </c>
      <c r="L153" s="6" t="b">
        <f t="shared" si="39"/>
        <v>0</v>
      </c>
      <c r="M153" s="6">
        <v>269</v>
      </c>
      <c r="N153" s="6" t="b">
        <f t="shared" si="40"/>
        <v>0</v>
      </c>
      <c r="O153" s="6">
        <v>10</v>
      </c>
      <c r="P153" s="6" t="b">
        <f t="shared" si="41"/>
        <v>0</v>
      </c>
      <c r="Q153" s="6">
        <v>71</v>
      </c>
      <c r="R153" s="6" t="b">
        <f t="shared" si="42"/>
        <v>0</v>
      </c>
      <c r="S153" s="6">
        <v>19</v>
      </c>
      <c r="T153" s="6" t="b">
        <f t="shared" si="43"/>
        <v>0</v>
      </c>
      <c r="U153" s="6">
        <v>2E-3</v>
      </c>
      <c r="V153" s="6" t="b">
        <f t="shared" si="44"/>
        <v>0</v>
      </c>
      <c r="W153" s="6">
        <v>68</v>
      </c>
      <c r="X153" s="6" t="b">
        <f t="shared" si="45"/>
        <v>0</v>
      </c>
      <c r="Y153" s="6">
        <v>80</v>
      </c>
      <c r="Z153" s="6" t="b">
        <f t="shared" si="46"/>
        <v>0</v>
      </c>
      <c r="AA153" s="6">
        <v>132.749</v>
      </c>
      <c r="AB153" s="6" t="b">
        <f t="shared" si="47"/>
        <v>0</v>
      </c>
      <c r="AC153" s="6">
        <v>42.877000000000002</v>
      </c>
      <c r="AD153" s="8" t="b">
        <f t="shared" si="48"/>
        <v>0</v>
      </c>
      <c r="AE153" s="8">
        <f t="shared" si="49"/>
        <v>89.871999999999986</v>
      </c>
      <c r="AF153" t="b">
        <f t="shared" si="50"/>
        <v>0</v>
      </c>
    </row>
    <row r="154" spans="1:32" x14ac:dyDescent="0.3">
      <c r="A154" s="6">
        <v>346</v>
      </c>
      <c r="B154" s="6" t="b">
        <f t="shared" si="34"/>
        <v>0</v>
      </c>
      <c r="C154" s="6">
        <v>3</v>
      </c>
      <c r="D154" s="6" t="b">
        <f t="shared" si="35"/>
        <v>0</v>
      </c>
      <c r="E154" s="6">
        <v>7</v>
      </c>
      <c r="F154" s="6" t="b">
        <f t="shared" si="36"/>
        <v>0</v>
      </c>
      <c r="G154" s="6">
        <v>165</v>
      </c>
      <c r="H154" s="6" t="b">
        <f t="shared" si="37"/>
        <v>0</v>
      </c>
      <c r="I154" s="6">
        <v>5</v>
      </c>
      <c r="J154" s="6" t="b">
        <f t="shared" si="38"/>
        <v>0</v>
      </c>
      <c r="K154" s="6">
        <v>2.94</v>
      </c>
      <c r="L154" s="6" t="b">
        <f t="shared" si="39"/>
        <v>0</v>
      </c>
      <c r="M154" s="6">
        <v>352</v>
      </c>
      <c r="N154" s="6" t="b">
        <f t="shared" si="40"/>
        <v>0</v>
      </c>
      <c r="O154" s="6">
        <v>5</v>
      </c>
      <c r="P154" s="6" t="b">
        <f t="shared" si="41"/>
        <v>0</v>
      </c>
      <c r="Q154" s="6">
        <v>37</v>
      </c>
      <c r="R154" s="6" t="b">
        <f t="shared" si="42"/>
        <v>0</v>
      </c>
      <c r="S154" s="6">
        <v>19</v>
      </c>
      <c r="T154" s="6" t="b">
        <f t="shared" si="43"/>
        <v>0</v>
      </c>
      <c r="U154" s="6">
        <v>2E-3</v>
      </c>
      <c r="V154" s="6" t="b">
        <f t="shared" si="44"/>
        <v>0</v>
      </c>
      <c r="W154" s="6">
        <v>55</v>
      </c>
      <c r="X154" s="6" t="b">
        <f t="shared" si="45"/>
        <v>0</v>
      </c>
      <c r="Y154" s="6">
        <v>110</v>
      </c>
      <c r="Z154" s="6" t="b">
        <f t="shared" si="46"/>
        <v>0</v>
      </c>
      <c r="AA154" s="6">
        <v>25.661000000000001</v>
      </c>
      <c r="AB154" s="6" t="b">
        <f t="shared" si="47"/>
        <v>0</v>
      </c>
      <c r="AC154" s="6">
        <v>4.9050000000000002</v>
      </c>
      <c r="AD154" s="8" t="b">
        <f t="shared" si="48"/>
        <v>0</v>
      </c>
      <c r="AE154" s="8">
        <f t="shared" si="49"/>
        <v>20.756</v>
      </c>
      <c r="AF154" t="b">
        <f t="shared" si="50"/>
        <v>0</v>
      </c>
    </row>
    <row r="155" spans="1:32" x14ac:dyDescent="0.3">
      <c r="A155" s="6">
        <v>309</v>
      </c>
      <c r="B155" s="6" t="b">
        <f t="shared" si="34"/>
        <v>0</v>
      </c>
      <c r="C155" s="6">
        <v>3</v>
      </c>
      <c r="D155" s="6" t="b">
        <f t="shared" si="35"/>
        <v>0</v>
      </c>
      <c r="E155" s="6">
        <v>10</v>
      </c>
      <c r="F155" s="6" t="b">
        <f t="shared" si="36"/>
        <v>0</v>
      </c>
      <c r="G155" s="6">
        <v>126</v>
      </c>
      <c r="H155" s="6" t="b">
        <f t="shared" si="37"/>
        <v>0</v>
      </c>
      <c r="I155" s="6">
        <v>4</v>
      </c>
      <c r="J155" s="6" t="b">
        <f t="shared" si="38"/>
        <v>0</v>
      </c>
      <c r="K155" s="6">
        <v>2.94</v>
      </c>
      <c r="L155" s="6" t="b">
        <f t="shared" si="39"/>
        <v>0</v>
      </c>
      <c r="M155" s="6">
        <v>220</v>
      </c>
      <c r="N155" s="6" t="b">
        <f t="shared" si="40"/>
        <v>0</v>
      </c>
      <c r="O155" s="6">
        <v>10</v>
      </c>
      <c r="P155" s="6" t="b">
        <f t="shared" si="41"/>
        <v>0</v>
      </c>
      <c r="Q155" s="6">
        <v>92</v>
      </c>
      <c r="R155" s="6" t="b">
        <f t="shared" si="42"/>
        <v>0</v>
      </c>
      <c r="S155" s="6">
        <v>14</v>
      </c>
      <c r="T155" s="6" t="b">
        <f t="shared" si="43"/>
        <v>0</v>
      </c>
      <c r="U155" s="6">
        <v>1.6999999999999999E-3</v>
      </c>
      <c r="V155" s="6" t="b">
        <f t="shared" si="44"/>
        <v>0</v>
      </c>
      <c r="W155" s="6">
        <v>84</v>
      </c>
      <c r="X155" s="6" t="b">
        <f t="shared" si="45"/>
        <v>0</v>
      </c>
      <c r="Y155" s="6">
        <v>42</v>
      </c>
      <c r="Z155" s="6" t="b">
        <f t="shared" si="46"/>
        <v>0</v>
      </c>
      <c r="AA155" s="6">
        <v>67.215000000000003</v>
      </c>
      <c r="AB155" s="6" t="b">
        <f t="shared" si="47"/>
        <v>0</v>
      </c>
      <c r="AC155" s="6">
        <v>14.561</v>
      </c>
      <c r="AD155" s="8" t="b">
        <f t="shared" si="48"/>
        <v>0</v>
      </c>
      <c r="AE155" s="8">
        <f t="shared" si="49"/>
        <v>52.654000000000003</v>
      </c>
      <c r="AF155" t="b">
        <f t="shared" si="50"/>
        <v>0</v>
      </c>
    </row>
    <row r="156" spans="1:32" x14ac:dyDescent="0.3">
      <c r="A156" s="6">
        <v>330</v>
      </c>
      <c r="B156" s="6" t="b">
        <f t="shared" si="34"/>
        <v>0</v>
      </c>
      <c r="C156" s="6">
        <v>3</v>
      </c>
      <c r="D156" s="6" t="b">
        <f t="shared" si="35"/>
        <v>0</v>
      </c>
      <c r="E156" s="6">
        <v>4</v>
      </c>
      <c r="F156" s="6" t="b">
        <f t="shared" si="36"/>
        <v>0</v>
      </c>
      <c r="G156" s="6">
        <v>155</v>
      </c>
      <c r="H156" s="6" t="b">
        <f t="shared" si="37"/>
        <v>0</v>
      </c>
      <c r="I156" s="6">
        <v>3.5</v>
      </c>
      <c r="J156" s="6" t="b">
        <f t="shared" si="38"/>
        <v>0</v>
      </c>
      <c r="K156" s="6">
        <v>2.94</v>
      </c>
      <c r="L156" s="6" t="b">
        <f t="shared" si="39"/>
        <v>0</v>
      </c>
      <c r="M156" s="6">
        <v>137</v>
      </c>
      <c r="N156" s="6" t="b">
        <f t="shared" si="40"/>
        <v>0</v>
      </c>
      <c r="O156" s="6">
        <v>15</v>
      </c>
      <c r="P156" s="6" t="b">
        <f t="shared" si="41"/>
        <v>0</v>
      </c>
      <c r="Q156" s="6">
        <v>96</v>
      </c>
      <c r="R156" s="6" t="b">
        <f t="shared" si="42"/>
        <v>0</v>
      </c>
      <c r="S156" s="6">
        <v>11</v>
      </c>
      <c r="T156" s="6" t="b">
        <f t="shared" si="43"/>
        <v>0</v>
      </c>
      <c r="U156" s="6">
        <v>5.0999999999999995E-3</v>
      </c>
      <c r="V156" s="6" t="b">
        <f t="shared" si="44"/>
        <v>0</v>
      </c>
      <c r="W156" s="6">
        <v>81</v>
      </c>
      <c r="X156" s="6" t="b">
        <f t="shared" si="45"/>
        <v>0</v>
      </c>
      <c r="Y156" s="6">
        <v>74</v>
      </c>
      <c r="Z156" s="6" t="b">
        <f t="shared" si="46"/>
        <v>0</v>
      </c>
      <c r="AA156" s="6">
        <v>22.873000000000001</v>
      </c>
      <c r="AB156" s="6" t="b">
        <f t="shared" si="47"/>
        <v>0</v>
      </c>
      <c r="AC156" s="6">
        <v>17.529</v>
      </c>
      <c r="AD156" s="8" t="b">
        <f t="shared" si="48"/>
        <v>0</v>
      </c>
      <c r="AE156" s="8">
        <f t="shared" si="49"/>
        <v>5.3440000000000012</v>
      </c>
      <c r="AF156" t="b">
        <f t="shared" si="50"/>
        <v>0</v>
      </c>
    </row>
    <row r="157" spans="1:32" x14ac:dyDescent="0.3">
      <c r="A157" s="6">
        <v>360</v>
      </c>
      <c r="B157" s="6" t="b">
        <f t="shared" si="34"/>
        <v>0</v>
      </c>
      <c r="C157" s="6">
        <v>3</v>
      </c>
      <c r="D157" s="6" t="b">
        <f t="shared" si="35"/>
        <v>0</v>
      </c>
      <c r="E157" s="6">
        <v>10</v>
      </c>
      <c r="F157" s="6" t="b">
        <f t="shared" si="36"/>
        <v>0</v>
      </c>
      <c r="G157" s="6">
        <v>160</v>
      </c>
      <c r="H157" s="6" t="b">
        <f t="shared" si="37"/>
        <v>0</v>
      </c>
      <c r="I157" s="6">
        <v>4</v>
      </c>
      <c r="J157" s="6" t="b">
        <f t="shared" si="38"/>
        <v>0</v>
      </c>
      <c r="K157" s="6">
        <v>2.94</v>
      </c>
      <c r="L157" s="6" t="b">
        <f t="shared" si="39"/>
        <v>0</v>
      </c>
      <c r="M157" s="6">
        <v>220</v>
      </c>
      <c r="N157" s="6" t="b">
        <f t="shared" si="40"/>
        <v>0</v>
      </c>
      <c r="O157" s="6">
        <v>10</v>
      </c>
      <c r="P157" s="6" t="b">
        <f t="shared" si="41"/>
        <v>0</v>
      </c>
      <c r="Q157" s="6">
        <v>77</v>
      </c>
      <c r="R157" s="6" t="b">
        <f t="shared" si="42"/>
        <v>0</v>
      </c>
      <c r="S157" s="6">
        <v>17</v>
      </c>
      <c r="T157" s="6" t="b">
        <f t="shared" si="43"/>
        <v>0</v>
      </c>
      <c r="U157" s="6">
        <v>2.2000000000000001E-3</v>
      </c>
      <c r="V157" s="6" t="b">
        <f t="shared" si="44"/>
        <v>0</v>
      </c>
      <c r="W157" s="6">
        <v>97</v>
      </c>
      <c r="X157" s="6" t="b">
        <f t="shared" si="45"/>
        <v>0</v>
      </c>
      <c r="Y157" s="6">
        <v>63</v>
      </c>
      <c r="Z157" s="6" t="b">
        <f t="shared" si="46"/>
        <v>0</v>
      </c>
      <c r="AA157" s="6">
        <v>96.254999999999995</v>
      </c>
      <c r="AB157" s="6" t="b">
        <f t="shared" si="47"/>
        <v>0</v>
      </c>
      <c r="AC157" s="6">
        <v>45.454999999999998</v>
      </c>
      <c r="AD157" s="8" t="b">
        <f t="shared" si="48"/>
        <v>0</v>
      </c>
      <c r="AE157" s="8">
        <f t="shared" si="49"/>
        <v>50.8</v>
      </c>
      <c r="AF157" t="b">
        <f t="shared" si="50"/>
        <v>0</v>
      </c>
    </row>
    <row r="158" spans="1:32" x14ac:dyDescent="0.3">
      <c r="A158" s="6">
        <v>300</v>
      </c>
      <c r="B158" s="6" t="b">
        <f t="shared" si="34"/>
        <v>0</v>
      </c>
      <c r="C158" s="6">
        <v>4</v>
      </c>
      <c r="D158" s="6" t="b">
        <f t="shared" si="35"/>
        <v>0</v>
      </c>
      <c r="E158" s="6">
        <v>3</v>
      </c>
      <c r="F158" s="6" t="b">
        <f t="shared" si="36"/>
        <v>0</v>
      </c>
      <c r="G158" s="6">
        <v>160</v>
      </c>
      <c r="H158" s="6" t="b">
        <f t="shared" si="37"/>
        <v>0</v>
      </c>
      <c r="I158" s="6">
        <v>4</v>
      </c>
      <c r="J158" s="6" t="b">
        <f t="shared" si="38"/>
        <v>0</v>
      </c>
      <c r="K158" s="6">
        <v>2.94</v>
      </c>
      <c r="L158" s="6" t="b">
        <f t="shared" si="39"/>
        <v>0</v>
      </c>
      <c r="M158" s="6">
        <v>115</v>
      </c>
      <c r="N158" s="6" t="b">
        <f t="shared" si="40"/>
        <v>0</v>
      </c>
      <c r="O158" s="6">
        <v>5</v>
      </c>
      <c r="P158" s="6" t="b">
        <f t="shared" si="41"/>
        <v>0</v>
      </c>
      <c r="Q158" s="6">
        <v>45</v>
      </c>
      <c r="R158" s="6" t="b">
        <f t="shared" si="42"/>
        <v>0</v>
      </c>
      <c r="S158" s="6">
        <v>14</v>
      </c>
      <c r="T158" s="6" t="b">
        <f t="shared" si="43"/>
        <v>0</v>
      </c>
      <c r="U158" s="6">
        <v>2.1000000000000003E-3</v>
      </c>
      <c r="V158" s="6" t="b">
        <f t="shared" si="44"/>
        <v>0</v>
      </c>
      <c r="W158" s="6">
        <v>64</v>
      </c>
      <c r="X158" s="6" t="b">
        <f t="shared" si="45"/>
        <v>0</v>
      </c>
      <c r="Y158" s="6">
        <v>96</v>
      </c>
      <c r="Z158" s="6" t="b">
        <f t="shared" si="46"/>
        <v>0</v>
      </c>
      <c r="AA158" s="6">
        <v>34.765999999999998</v>
      </c>
      <c r="AB158" s="6" t="b">
        <f t="shared" si="47"/>
        <v>0</v>
      </c>
      <c r="AC158" s="6">
        <v>18.919</v>
      </c>
      <c r="AD158" s="8" t="b">
        <f t="shared" si="48"/>
        <v>0</v>
      </c>
      <c r="AE158" s="8">
        <f t="shared" si="49"/>
        <v>15.846999999999998</v>
      </c>
      <c r="AF158" t="b">
        <f t="shared" si="50"/>
        <v>0</v>
      </c>
    </row>
    <row r="159" spans="1:32" x14ac:dyDescent="0.3">
      <c r="A159" s="6">
        <v>270</v>
      </c>
      <c r="B159" s="6" t="b">
        <f t="shared" si="34"/>
        <v>0</v>
      </c>
      <c r="C159" s="6">
        <v>3</v>
      </c>
      <c r="D159" s="6" t="b">
        <f t="shared" si="35"/>
        <v>0</v>
      </c>
      <c r="E159" s="6">
        <v>6</v>
      </c>
      <c r="F159" s="6" t="b">
        <f t="shared" si="36"/>
        <v>0</v>
      </c>
      <c r="G159" s="6">
        <v>148</v>
      </c>
      <c r="H159" s="6" t="b">
        <f t="shared" si="37"/>
        <v>0</v>
      </c>
      <c r="I159" s="6">
        <v>2.4</v>
      </c>
      <c r="J159" s="6" t="b">
        <f t="shared" si="38"/>
        <v>0</v>
      </c>
      <c r="K159" s="6">
        <v>2.94</v>
      </c>
      <c r="L159" s="6" t="b">
        <f t="shared" si="39"/>
        <v>0</v>
      </c>
      <c r="M159" s="6">
        <v>256</v>
      </c>
      <c r="N159" s="6" t="b">
        <f t="shared" si="40"/>
        <v>0</v>
      </c>
      <c r="O159" s="6">
        <v>7</v>
      </c>
      <c r="P159" s="6" t="b">
        <f t="shared" si="41"/>
        <v>0</v>
      </c>
      <c r="Q159" s="6">
        <v>40</v>
      </c>
      <c r="R159" s="6" t="b">
        <f t="shared" si="42"/>
        <v>0</v>
      </c>
      <c r="S159" s="6">
        <v>17</v>
      </c>
      <c r="T159" s="6" t="b">
        <f t="shared" si="43"/>
        <v>0</v>
      </c>
      <c r="U159" s="6">
        <v>2.5000000000000001E-3</v>
      </c>
      <c r="V159" s="6" t="b">
        <f t="shared" si="44"/>
        <v>0</v>
      </c>
      <c r="W159" s="6">
        <v>94</v>
      </c>
      <c r="X159" s="6" t="b">
        <f t="shared" si="45"/>
        <v>0</v>
      </c>
      <c r="Y159" s="6">
        <v>54</v>
      </c>
      <c r="Z159" s="6" t="b">
        <f t="shared" si="46"/>
        <v>0</v>
      </c>
      <c r="AA159" s="6">
        <v>50.927999999999997</v>
      </c>
      <c r="AB159" s="6" t="b">
        <f t="shared" si="47"/>
        <v>0</v>
      </c>
      <c r="AC159" s="6">
        <v>15.417</v>
      </c>
      <c r="AD159" s="8" t="b">
        <f t="shared" si="48"/>
        <v>0</v>
      </c>
      <c r="AE159" s="8">
        <f t="shared" si="49"/>
        <v>35.510999999999996</v>
      </c>
      <c r="AF159" t="b">
        <f t="shared" si="50"/>
        <v>0</v>
      </c>
    </row>
    <row r="160" spans="1:32" x14ac:dyDescent="0.3">
      <c r="A160" s="6">
        <v>200</v>
      </c>
      <c r="B160" s="6" t="b">
        <f t="shared" si="34"/>
        <v>0</v>
      </c>
      <c r="C160" s="6">
        <v>3</v>
      </c>
      <c r="D160" s="6" t="b">
        <f t="shared" si="35"/>
        <v>0</v>
      </c>
      <c r="E160" s="6">
        <v>3</v>
      </c>
      <c r="F160" s="6" t="b">
        <f t="shared" si="36"/>
        <v>0</v>
      </c>
      <c r="G160" s="6">
        <v>156</v>
      </c>
      <c r="H160" s="6" t="b">
        <f t="shared" si="37"/>
        <v>0</v>
      </c>
      <c r="I160" s="6">
        <v>4</v>
      </c>
      <c r="J160" s="6" t="b">
        <f t="shared" si="38"/>
        <v>0</v>
      </c>
      <c r="K160" s="6">
        <v>2.94</v>
      </c>
      <c r="L160" s="6" t="b">
        <f t="shared" si="39"/>
        <v>0</v>
      </c>
      <c r="M160" s="6">
        <v>256</v>
      </c>
      <c r="N160" s="6" t="b">
        <f t="shared" si="40"/>
        <v>0</v>
      </c>
      <c r="O160" s="6">
        <v>7</v>
      </c>
      <c r="P160" s="6" t="b">
        <f t="shared" si="41"/>
        <v>0</v>
      </c>
      <c r="Q160" s="6">
        <v>53</v>
      </c>
      <c r="R160" s="6" t="b">
        <f t="shared" si="42"/>
        <v>0</v>
      </c>
      <c r="S160" s="6">
        <v>19</v>
      </c>
      <c r="T160" s="6" t="b">
        <f t="shared" si="43"/>
        <v>0</v>
      </c>
      <c r="U160" s="6">
        <v>1.8E-3</v>
      </c>
      <c r="V160" s="6" t="b">
        <f t="shared" si="44"/>
        <v>0</v>
      </c>
      <c r="W160" s="6">
        <v>81</v>
      </c>
      <c r="X160" s="6" t="b">
        <f t="shared" si="45"/>
        <v>0</v>
      </c>
      <c r="Y160" s="6">
        <v>75</v>
      </c>
      <c r="Z160" s="6" t="b">
        <f t="shared" si="46"/>
        <v>0</v>
      </c>
      <c r="AA160" s="6">
        <v>75.986999999999995</v>
      </c>
      <c r="AB160" s="6" t="b">
        <f t="shared" si="47"/>
        <v>0</v>
      </c>
      <c r="AC160" s="6">
        <v>18.495000000000001</v>
      </c>
      <c r="AD160" s="8" t="b">
        <f t="shared" si="48"/>
        <v>0</v>
      </c>
      <c r="AE160" s="8">
        <f t="shared" si="49"/>
        <v>57.49199999999999</v>
      </c>
      <c r="AF160" t="b">
        <f t="shared" si="50"/>
        <v>0</v>
      </c>
    </row>
    <row r="161" spans="1:32" x14ac:dyDescent="0.3">
      <c r="A161" s="6">
        <v>296</v>
      </c>
      <c r="B161" s="6" t="b">
        <f t="shared" si="34"/>
        <v>0</v>
      </c>
      <c r="C161" s="6">
        <v>4</v>
      </c>
      <c r="D161" s="6" t="b">
        <f t="shared" si="35"/>
        <v>0</v>
      </c>
      <c r="E161" s="6">
        <v>8</v>
      </c>
      <c r="F161" s="6" t="b">
        <f t="shared" si="36"/>
        <v>0</v>
      </c>
      <c r="G161" s="6">
        <v>135</v>
      </c>
      <c r="H161" s="6" t="b">
        <f t="shared" si="37"/>
        <v>0</v>
      </c>
      <c r="I161" s="6">
        <v>4.7</v>
      </c>
      <c r="J161" s="6" t="b">
        <f t="shared" si="38"/>
        <v>0</v>
      </c>
      <c r="K161" s="6">
        <v>2.94</v>
      </c>
      <c r="L161" s="6" t="b">
        <f t="shared" si="39"/>
        <v>0</v>
      </c>
      <c r="M161" s="6">
        <v>284</v>
      </c>
      <c r="N161" s="6" t="b">
        <f t="shared" si="40"/>
        <v>0</v>
      </c>
      <c r="O161" s="6">
        <v>3</v>
      </c>
      <c r="P161" s="6" t="b">
        <f t="shared" si="41"/>
        <v>0</v>
      </c>
      <c r="Q161" s="6">
        <v>46</v>
      </c>
      <c r="R161" s="6" t="b">
        <f t="shared" si="42"/>
        <v>0</v>
      </c>
      <c r="S161" s="6">
        <v>16</v>
      </c>
      <c r="T161" s="6" t="b">
        <f t="shared" si="43"/>
        <v>0</v>
      </c>
      <c r="U161" s="6">
        <v>1E-3</v>
      </c>
      <c r="V161" s="6" t="b">
        <f t="shared" si="44"/>
        <v>0</v>
      </c>
      <c r="W161" s="6">
        <v>51</v>
      </c>
      <c r="X161" s="6" t="b">
        <f t="shared" si="45"/>
        <v>0</v>
      </c>
      <c r="Y161" s="6">
        <v>84</v>
      </c>
      <c r="Z161" s="6" t="b">
        <f t="shared" si="46"/>
        <v>0</v>
      </c>
      <c r="AA161" s="6">
        <v>20.556000000000001</v>
      </c>
      <c r="AB161" s="6" t="b">
        <f t="shared" si="47"/>
        <v>0</v>
      </c>
      <c r="AC161" s="6">
        <v>6.1470000000000002</v>
      </c>
      <c r="AD161" s="8" t="b">
        <f t="shared" si="48"/>
        <v>0</v>
      </c>
      <c r="AE161" s="8">
        <f t="shared" si="49"/>
        <v>14.409000000000001</v>
      </c>
      <c r="AF161" t="b">
        <f t="shared" si="50"/>
        <v>0</v>
      </c>
    </row>
    <row r="162" spans="1:32" x14ac:dyDescent="0.3">
      <c r="A162" s="6">
        <v>270</v>
      </c>
      <c r="B162" s="6" t="b">
        <f t="shared" si="34"/>
        <v>0</v>
      </c>
      <c r="C162" s="6">
        <v>3</v>
      </c>
      <c r="D162" s="6" t="b">
        <f t="shared" si="35"/>
        <v>0</v>
      </c>
      <c r="E162" s="6">
        <v>4</v>
      </c>
      <c r="F162" s="6" t="b">
        <f t="shared" si="36"/>
        <v>0</v>
      </c>
      <c r="G162" s="6">
        <v>155</v>
      </c>
      <c r="H162" s="6" t="b">
        <f t="shared" si="37"/>
        <v>0</v>
      </c>
      <c r="I162" s="6">
        <v>4.5</v>
      </c>
      <c r="J162" s="6" t="b">
        <f t="shared" si="38"/>
        <v>0</v>
      </c>
      <c r="K162" s="6">
        <v>2.94</v>
      </c>
      <c r="L162" s="6" t="b">
        <f t="shared" si="39"/>
        <v>0</v>
      </c>
      <c r="M162" s="6">
        <v>17</v>
      </c>
      <c r="N162" s="6" t="b">
        <f t="shared" si="40"/>
        <v>0</v>
      </c>
      <c r="O162" s="6">
        <v>7</v>
      </c>
      <c r="P162" s="6" t="b">
        <f t="shared" si="41"/>
        <v>0</v>
      </c>
      <c r="Q162" s="6">
        <v>58</v>
      </c>
      <c r="R162" s="6" t="b">
        <f t="shared" si="42"/>
        <v>0</v>
      </c>
      <c r="S162" s="6">
        <v>10</v>
      </c>
      <c r="T162" s="6" t="b">
        <f t="shared" si="43"/>
        <v>0</v>
      </c>
      <c r="U162" s="6">
        <v>3.3E-3</v>
      </c>
      <c r="V162" s="6" t="b">
        <f t="shared" si="44"/>
        <v>0</v>
      </c>
      <c r="W162" s="6">
        <v>90</v>
      </c>
      <c r="X162" s="6" t="b">
        <f t="shared" si="45"/>
        <v>0</v>
      </c>
      <c r="Y162" s="6">
        <v>65</v>
      </c>
      <c r="Z162" s="6" t="b">
        <f t="shared" si="46"/>
        <v>0</v>
      </c>
      <c r="AA162" s="6">
        <v>17.385999999999999</v>
      </c>
      <c r="AB162" s="6" t="b">
        <f t="shared" si="47"/>
        <v>0</v>
      </c>
      <c r="AC162" s="6">
        <v>13.582000000000001</v>
      </c>
      <c r="AD162" s="8" t="b">
        <f t="shared" si="48"/>
        <v>0</v>
      </c>
      <c r="AE162" s="8">
        <f t="shared" si="49"/>
        <v>3.8039999999999985</v>
      </c>
      <c r="AF162" t="b">
        <f t="shared" si="50"/>
        <v>0</v>
      </c>
    </row>
    <row r="163" spans="1:32" x14ac:dyDescent="0.3">
      <c r="A163" s="6">
        <v>310</v>
      </c>
      <c r="B163" s="6" t="b">
        <f t="shared" si="34"/>
        <v>0</v>
      </c>
      <c r="C163" s="6">
        <v>3</v>
      </c>
      <c r="D163" s="6" t="b">
        <f t="shared" si="35"/>
        <v>0</v>
      </c>
      <c r="E163" s="6">
        <v>4</v>
      </c>
      <c r="F163" s="6" t="b">
        <f t="shared" si="36"/>
        <v>0</v>
      </c>
      <c r="G163" s="6">
        <v>165</v>
      </c>
      <c r="H163" s="6" t="b">
        <f t="shared" si="37"/>
        <v>0</v>
      </c>
      <c r="I163" s="6">
        <v>2</v>
      </c>
      <c r="J163" s="6" t="b">
        <f t="shared" si="38"/>
        <v>0</v>
      </c>
      <c r="K163" s="6">
        <v>2.94</v>
      </c>
      <c r="L163" s="6" t="b">
        <f t="shared" si="39"/>
        <v>0</v>
      </c>
      <c r="M163" s="6">
        <v>22</v>
      </c>
      <c r="N163" s="6" t="b">
        <f t="shared" si="40"/>
        <v>0</v>
      </c>
      <c r="O163" s="6">
        <v>17</v>
      </c>
      <c r="P163" s="6" t="b">
        <f t="shared" si="41"/>
        <v>0</v>
      </c>
      <c r="Q163" s="6">
        <v>86</v>
      </c>
      <c r="R163" s="6" t="b">
        <f t="shared" si="42"/>
        <v>0</v>
      </c>
      <c r="S163" s="6">
        <v>15</v>
      </c>
      <c r="T163" s="6" t="b">
        <f t="shared" si="43"/>
        <v>0</v>
      </c>
      <c r="U163" s="6">
        <v>3.3999999999999998E-3</v>
      </c>
      <c r="V163" s="6" t="b">
        <f t="shared" si="44"/>
        <v>0</v>
      </c>
      <c r="W163" s="6">
        <v>51</v>
      </c>
      <c r="X163" s="6" t="b">
        <f t="shared" si="45"/>
        <v>0</v>
      </c>
      <c r="Y163" s="6">
        <v>114</v>
      </c>
      <c r="Z163" s="6" t="b">
        <f t="shared" si="46"/>
        <v>0</v>
      </c>
      <c r="AA163" s="6">
        <v>24.940999999999999</v>
      </c>
      <c r="AB163" s="6" t="b">
        <f t="shared" si="47"/>
        <v>0</v>
      </c>
      <c r="AC163" s="6">
        <v>19.356999999999999</v>
      </c>
      <c r="AD163" s="8" t="b">
        <f t="shared" si="48"/>
        <v>0</v>
      </c>
      <c r="AE163" s="8">
        <f t="shared" si="49"/>
        <v>5.5839999999999996</v>
      </c>
      <c r="AF163" t="b">
        <f t="shared" si="50"/>
        <v>0</v>
      </c>
    </row>
    <row r="164" spans="1:32" x14ac:dyDescent="0.3">
      <c r="A164" s="6">
        <v>230</v>
      </c>
      <c r="B164" s="6" t="b">
        <f t="shared" si="34"/>
        <v>0</v>
      </c>
      <c r="C164" s="6">
        <v>3</v>
      </c>
      <c r="D164" s="6" t="b">
        <f t="shared" si="35"/>
        <v>0</v>
      </c>
      <c r="E164" s="6">
        <v>5</v>
      </c>
      <c r="F164" s="6" t="b">
        <f t="shared" si="36"/>
        <v>0</v>
      </c>
      <c r="G164" s="6">
        <v>164</v>
      </c>
      <c r="H164" s="6" t="b">
        <f t="shared" si="37"/>
        <v>0</v>
      </c>
      <c r="I164" s="6">
        <v>2.5</v>
      </c>
      <c r="J164" s="6" t="b">
        <f t="shared" si="38"/>
        <v>0</v>
      </c>
      <c r="K164" s="6">
        <v>2.94</v>
      </c>
      <c r="L164" s="6" t="b">
        <f t="shared" si="39"/>
        <v>0</v>
      </c>
      <c r="M164" s="6">
        <v>256</v>
      </c>
      <c r="N164" s="6" t="b">
        <f t="shared" si="40"/>
        <v>0</v>
      </c>
      <c r="O164" s="6">
        <v>7</v>
      </c>
      <c r="P164" s="6" t="b">
        <f t="shared" si="41"/>
        <v>0</v>
      </c>
      <c r="Q164" s="6">
        <v>65</v>
      </c>
      <c r="R164" s="6" t="b">
        <f t="shared" si="42"/>
        <v>0</v>
      </c>
      <c r="S164" s="6">
        <v>14</v>
      </c>
      <c r="T164" s="6" t="b">
        <f t="shared" si="43"/>
        <v>0</v>
      </c>
      <c r="U164" s="6">
        <v>2E-3</v>
      </c>
      <c r="V164" s="6" t="b">
        <f t="shared" si="44"/>
        <v>0</v>
      </c>
      <c r="W164" s="6">
        <v>109</v>
      </c>
      <c r="X164" s="6" t="b">
        <f t="shared" si="45"/>
        <v>0</v>
      </c>
      <c r="Y164" s="6">
        <v>55</v>
      </c>
      <c r="Z164" s="6" t="b">
        <f t="shared" si="46"/>
        <v>0</v>
      </c>
      <c r="AA164" s="6">
        <v>87.724000000000004</v>
      </c>
      <c r="AB164" s="6" t="b">
        <f t="shared" si="47"/>
        <v>0</v>
      </c>
      <c r="AC164" s="6">
        <v>27.88</v>
      </c>
      <c r="AD164" s="8" t="b">
        <f t="shared" si="48"/>
        <v>0</v>
      </c>
      <c r="AE164" s="8">
        <f t="shared" si="49"/>
        <v>59.844000000000008</v>
      </c>
      <c r="AF164" t="b">
        <f t="shared" si="50"/>
        <v>0</v>
      </c>
    </row>
    <row r="165" spans="1:32" x14ac:dyDescent="0.3">
      <c r="A165" s="6">
        <v>300</v>
      </c>
      <c r="B165" s="6" t="b">
        <f t="shared" si="34"/>
        <v>0</v>
      </c>
      <c r="C165" s="6">
        <v>3</v>
      </c>
      <c r="D165" s="6" t="b">
        <f t="shared" si="35"/>
        <v>0</v>
      </c>
      <c r="E165" s="6">
        <v>11</v>
      </c>
      <c r="F165" s="6" t="b">
        <f t="shared" si="36"/>
        <v>0</v>
      </c>
      <c r="G165" s="6">
        <v>160</v>
      </c>
      <c r="H165" s="6" t="b">
        <f t="shared" si="37"/>
        <v>0</v>
      </c>
      <c r="I165" s="6">
        <v>4</v>
      </c>
      <c r="J165" s="6" t="b">
        <f t="shared" si="38"/>
        <v>0</v>
      </c>
      <c r="K165" s="6">
        <v>2.94</v>
      </c>
      <c r="L165" s="6" t="b">
        <f t="shared" si="39"/>
        <v>0</v>
      </c>
      <c r="M165" s="6">
        <v>8</v>
      </c>
      <c r="N165" s="6" t="b">
        <f t="shared" si="40"/>
        <v>0</v>
      </c>
      <c r="O165" s="6">
        <v>10</v>
      </c>
      <c r="P165" s="6" t="b">
        <f t="shared" si="41"/>
        <v>0</v>
      </c>
      <c r="Q165" s="6">
        <v>73</v>
      </c>
      <c r="R165" s="6" t="b">
        <f t="shared" si="42"/>
        <v>0</v>
      </c>
      <c r="S165" s="6">
        <v>18</v>
      </c>
      <c r="T165" s="6" t="b">
        <f t="shared" si="43"/>
        <v>0</v>
      </c>
      <c r="U165" s="6">
        <v>2.2000000000000001E-3</v>
      </c>
      <c r="V165" s="6" t="b">
        <f t="shared" si="44"/>
        <v>0</v>
      </c>
      <c r="W165" s="6">
        <v>98</v>
      </c>
      <c r="X165" s="6" t="b">
        <f t="shared" si="45"/>
        <v>0</v>
      </c>
      <c r="Y165" s="6">
        <v>62</v>
      </c>
      <c r="Z165" s="6" t="b">
        <f t="shared" si="46"/>
        <v>0</v>
      </c>
      <c r="AA165" s="6">
        <v>111.973</v>
      </c>
      <c r="AB165" s="6" t="b">
        <f t="shared" si="47"/>
        <v>0</v>
      </c>
      <c r="AC165" s="6">
        <v>55.054000000000002</v>
      </c>
      <c r="AD165" s="8" t="b">
        <f t="shared" si="48"/>
        <v>0</v>
      </c>
      <c r="AE165" s="8">
        <f t="shared" si="49"/>
        <v>56.918999999999997</v>
      </c>
      <c r="AF165" t="b">
        <f t="shared" si="50"/>
        <v>0</v>
      </c>
    </row>
    <row r="166" spans="1:32" x14ac:dyDescent="0.3">
      <c r="A166" s="6">
        <v>290</v>
      </c>
      <c r="B166" s="6" t="b">
        <f t="shared" si="34"/>
        <v>0</v>
      </c>
      <c r="C166" s="6">
        <v>3</v>
      </c>
      <c r="D166" s="6" t="b">
        <f t="shared" si="35"/>
        <v>0</v>
      </c>
      <c r="E166" s="6">
        <v>5</v>
      </c>
      <c r="F166" s="6" t="b">
        <f t="shared" si="36"/>
        <v>0</v>
      </c>
      <c r="G166" s="6">
        <v>150</v>
      </c>
      <c r="H166" s="6" t="b">
        <f t="shared" si="37"/>
        <v>0</v>
      </c>
      <c r="I166" s="6">
        <v>7</v>
      </c>
      <c r="J166" s="6" t="b">
        <f t="shared" si="38"/>
        <v>0</v>
      </c>
      <c r="K166" s="6">
        <v>2.94</v>
      </c>
      <c r="L166" s="6" t="b">
        <f t="shared" si="39"/>
        <v>0</v>
      </c>
      <c r="M166" s="6">
        <v>223</v>
      </c>
      <c r="N166" s="6" t="b">
        <f t="shared" si="40"/>
        <v>0</v>
      </c>
      <c r="O166" s="6">
        <v>5</v>
      </c>
      <c r="P166" s="6" t="b">
        <f t="shared" si="41"/>
        <v>0</v>
      </c>
      <c r="Q166" s="6">
        <v>55</v>
      </c>
      <c r="R166" s="6" t="b">
        <f t="shared" si="42"/>
        <v>0</v>
      </c>
      <c r="S166" s="6">
        <v>13</v>
      </c>
      <c r="T166" s="6" t="b">
        <f t="shared" si="43"/>
        <v>0</v>
      </c>
      <c r="U166" s="6">
        <v>1.9E-3</v>
      </c>
      <c r="V166" s="6" t="b">
        <f t="shared" si="44"/>
        <v>0</v>
      </c>
      <c r="W166" s="6">
        <v>101</v>
      </c>
      <c r="X166" s="6" t="b">
        <f t="shared" si="45"/>
        <v>0</v>
      </c>
      <c r="Y166" s="6">
        <v>49</v>
      </c>
      <c r="Z166" s="6" t="b">
        <f t="shared" si="46"/>
        <v>0</v>
      </c>
      <c r="AA166" s="6">
        <v>65.772000000000006</v>
      </c>
      <c r="AB166" s="6" t="b">
        <f t="shared" si="47"/>
        <v>0</v>
      </c>
      <c r="AC166" s="6">
        <v>7.47</v>
      </c>
      <c r="AD166" s="8" t="b">
        <f t="shared" si="48"/>
        <v>0</v>
      </c>
      <c r="AE166" s="8">
        <f t="shared" si="49"/>
        <v>58.302000000000007</v>
      </c>
      <c r="AF166" t="b">
        <f t="shared" si="50"/>
        <v>0</v>
      </c>
    </row>
    <row r="167" spans="1:32" x14ac:dyDescent="0.3">
      <c r="A167" s="6">
        <v>320</v>
      </c>
      <c r="B167" s="6" t="b">
        <f t="shared" si="34"/>
        <v>0</v>
      </c>
      <c r="C167" s="6">
        <v>3</v>
      </c>
      <c r="D167" s="6" t="b">
        <f t="shared" si="35"/>
        <v>0</v>
      </c>
      <c r="E167" s="6">
        <v>7</v>
      </c>
      <c r="F167" s="6" t="b">
        <f t="shared" si="36"/>
        <v>0</v>
      </c>
      <c r="G167" s="6">
        <v>155</v>
      </c>
      <c r="H167" s="6" t="b">
        <f t="shared" si="37"/>
        <v>0</v>
      </c>
      <c r="I167" s="6">
        <v>2.8</v>
      </c>
      <c r="J167" s="6" t="b">
        <f t="shared" si="38"/>
        <v>0</v>
      </c>
      <c r="K167" s="6">
        <v>2.94</v>
      </c>
      <c r="L167" s="6" t="b">
        <f t="shared" si="39"/>
        <v>0</v>
      </c>
      <c r="M167" s="6">
        <v>346</v>
      </c>
      <c r="N167" s="6" t="b">
        <f t="shared" si="40"/>
        <v>0</v>
      </c>
      <c r="O167" s="6">
        <v>15</v>
      </c>
      <c r="P167" s="6" t="b">
        <f t="shared" si="41"/>
        <v>0</v>
      </c>
      <c r="Q167" s="6">
        <v>150</v>
      </c>
      <c r="R167" s="6" t="b">
        <f t="shared" si="42"/>
        <v>0</v>
      </c>
      <c r="S167" s="6">
        <v>9</v>
      </c>
      <c r="T167" s="6" t="b">
        <f t="shared" si="43"/>
        <v>0</v>
      </c>
      <c r="U167" s="6">
        <v>4.0000000000000001E-3</v>
      </c>
      <c r="V167" s="6" t="b">
        <f t="shared" si="44"/>
        <v>0</v>
      </c>
      <c r="W167" s="6">
        <v>79</v>
      </c>
      <c r="X167" s="6" t="b">
        <f t="shared" si="45"/>
        <v>0</v>
      </c>
      <c r="Y167" s="6">
        <v>76</v>
      </c>
      <c r="Z167" s="6" t="b">
        <f t="shared" si="46"/>
        <v>0</v>
      </c>
      <c r="AA167" s="6">
        <v>33.628999999999998</v>
      </c>
      <c r="AB167" s="6" t="b">
        <f t="shared" si="47"/>
        <v>0</v>
      </c>
      <c r="AC167" s="6">
        <v>18.663</v>
      </c>
      <c r="AD167" s="8" t="b">
        <f t="shared" si="48"/>
        <v>0</v>
      </c>
      <c r="AE167" s="8">
        <f t="shared" si="49"/>
        <v>14.965999999999998</v>
      </c>
      <c r="AF167" t="b">
        <f t="shared" si="50"/>
        <v>0</v>
      </c>
    </row>
    <row r="168" spans="1:32" x14ac:dyDescent="0.3">
      <c r="A168" s="6">
        <v>490</v>
      </c>
      <c r="B168" s="6" t="b">
        <f t="shared" si="34"/>
        <v>0</v>
      </c>
      <c r="C168" s="6">
        <v>4</v>
      </c>
      <c r="D168" s="6" t="b">
        <f t="shared" si="35"/>
        <v>0</v>
      </c>
      <c r="E168" s="6">
        <v>4</v>
      </c>
      <c r="F168" s="6" t="b">
        <f t="shared" si="36"/>
        <v>0</v>
      </c>
      <c r="G168" s="6">
        <v>158</v>
      </c>
      <c r="H168" s="6" t="b">
        <f t="shared" si="37"/>
        <v>0</v>
      </c>
      <c r="I168" s="6">
        <v>2.7</v>
      </c>
      <c r="J168" s="6" t="b">
        <f t="shared" si="38"/>
        <v>0</v>
      </c>
      <c r="K168" s="6">
        <v>2.94</v>
      </c>
      <c r="L168" s="6" t="b">
        <f t="shared" si="39"/>
        <v>0</v>
      </c>
      <c r="M168" s="6">
        <v>245</v>
      </c>
      <c r="N168" s="6" t="b">
        <f t="shared" si="40"/>
        <v>0</v>
      </c>
      <c r="O168" s="6">
        <v>1</v>
      </c>
      <c r="P168" s="6" t="b">
        <f t="shared" si="41"/>
        <v>0</v>
      </c>
      <c r="Q168" s="6">
        <v>46</v>
      </c>
      <c r="R168" s="6" t="b">
        <f t="shared" si="42"/>
        <v>0</v>
      </c>
      <c r="S168" s="6">
        <v>9</v>
      </c>
      <c r="T168" s="6" t="b">
        <f t="shared" si="43"/>
        <v>0</v>
      </c>
      <c r="U168" s="6">
        <v>5.9999999999999995E-4</v>
      </c>
      <c r="V168" s="6" t="b">
        <f t="shared" si="44"/>
        <v>0</v>
      </c>
      <c r="W168" s="6">
        <v>43</v>
      </c>
      <c r="X168" s="6" t="b">
        <f t="shared" si="45"/>
        <v>0</v>
      </c>
      <c r="Y168" s="6">
        <v>115</v>
      </c>
      <c r="Z168" s="6" t="b">
        <f t="shared" si="46"/>
        <v>0</v>
      </c>
      <c r="AA168" s="6">
        <v>25.78</v>
      </c>
      <c r="AB168" s="6" t="b">
        <f t="shared" si="47"/>
        <v>0</v>
      </c>
      <c r="AC168" s="6">
        <v>20.192</v>
      </c>
      <c r="AD168" s="8" t="b">
        <f t="shared" si="48"/>
        <v>0</v>
      </c>
      <c r="AE168" s="8">
        <f t="shared" si="49"/>
        <v>5.588000000000001</v>
      </c>
      <c r="AF168" t="b">
        <f t="shared" si="50"/>
        <v>0</v>
      </c>
    </row>
    <row r="169" spans="1:32" x14ac:dyDescent="0.3">
      <c r="A169" s="6">
        <v>513</v>
      </c>
      <c r="B169" s="6" t="b">
        <f t="shared" si="34"/>
        <v>0</v>
      </c>
      <c r="C169" s="6">
        <v>5</v>
      </c>
      <c r="D169" s="6" t="b">
        <f t="shared" si="35"/>
        <v>0</v>
      </c>
      <c r="E169" s="6">
        <v>2</v>
      </c>
      <c r="F169" s="6" t="b">
        <f t="shared" si="36"/>
        <v>0</v>
      </c>
      <c r="G169" s="6">
        <v>160</v>
      </c>
      <c r="H169" s="6" t="b">
        <f t="shared" si="37"/>
        <v>0</v>
      </c>
      <c r="I169" s="6">
        <v>4.7</v>
      </c>
      <c r="J169" s="6" t="b">
        <f t="shared" si="38"/>
        <v>0</v>
      </c>
      <c r="K169" s="6">
        <v>2.94</v>
      </c>
      <c r="L169" s="6" t="b">
        <f t="shared" si="39"/>
        <v>0</v>
      </c>
      <c r="M169" s="6">
        <v>291</v>
      </c>
      <c r="N169" s="6" t="b">
        <f t="shared" si="40"/>
        <v>0</v>
      </c>
      <c r="O169" s="6">
        <v>7</v>
      </c>
      <c r="P169" s="6" t="b">
        <f t="shared" si="41"/>
        <v>0</v>
      </c>
      <c r="Q169" s="6">
        <v>66</v>
      </c>
      <c r="R169" s="6" t="b">
        <f t="shared" si="42"/>
        <v>0</v>
      </c>
      <c r="S169" s="6">
        <v>10</v>
      </c>
      <c r="T169" s="6" t="b">
        <f t="shared" si="43"/>
        <v>0</v>
      </c>
      <c r="U169" s="6">
        <v>3.0000000000000001E-3</v>
      </c>
      <c r="V169" s="6" t="b">
        <f t="shared" si="44"/>
        <v>0</v>
      </c>
      <c r="W169" s="6">
        <v>74</v>
      </c>
      <c r="X169" s="6" t="b">
        <f t="shared" si="45"/>
        <v>0</v>
      </c>
      <c r="Y169" s="6">
        <v>86</v>
      </c>
      <c r="Z169" s="6" t="b">
        <f t="shared" si="46"/>
        <v>0</v>
      </c>
      <c r="AA169" s="6">
        <v>108.813</v>
      </c>
      <c r="AB169" s="6" t="b">
        <f t="shared" si="47"/>
        <v>0</v>
      </c>
      <c r="AC169" s="6">
        <v>43.259</v>
      </c>
      <c r="AD169" s="8" t="b">
        <f t="shared" si="48"/>
        <v>0</v>
      </c>
      <c r="AE169" s="8">
        <f t="shared" si="49"/>
        <v>65.554000000000002</v>
      </c>
      <c r="AF169" t="b">
        <f t="shared" si="50"/>
        <v>0</v>
      </c>
    </row>
    <row r="170" spans="1:32" x14ac:dyDescent="0.3">
      <c r="A170" s="6">
        <v>420</v>
      </c>
      <c r="B170" s="6" t="b">
        <f t="shared" si="34"/>
        <v>0</v>
      </c>
      <c r="C170" s="6">
        <v>3</v>
      </c>
      <c r="D170" s="6" t="b">
        <f t="shared" si="35"/>
        <v>0</v>
      </c>
      <c r="E170" s="6">
        <v>8</v>
      </c>
      <c r="F170" s="6" t="b">
        <f t="shared" si="36"/>
        <v>0</v>
      </c>
      <c r="G170" s="6">
        <v>157</v>
      </c>
      <c r="H170" s="6" t="b">
        <f t="shared" si="37"/>
        <v>0</v>
      </c>
      <c r="I170" s="6">
        <v>2</v>
      </c>
      <c r="J170" s="6" t="b">
        <f t="shared" si="38"/>
        <v>0</v>
      </c>
      <c r="K170" s="6">
        <v>2.94</v>
      </c>
      <c r="L170" s="6" t="b">
        <f t="shared" si="39"/>
        <v>0</v>
      </c>
      <c r="M170" s="6">
        <v>137</v>
      </c>
      <c r="N170" s="6" t="b">
        <f t="shared" si="40"/>
        <v>0</v>
      </c>
      <c r="O170" s="6">
        <v>15</v>
      </c>
      <c r="P170" s="6" t="b">
        <f t="shared" si="41"/>
        <v>0</v>
      </c>
      <c r="Q170" s="6">
        <v>107</v>
      </c>
      <c r="R170" s="6" t="b">
        <f t="shared" si="42"/>
        <v>0</v>
      </c>
      <c r="S170" s="6">
        <v>12</v>
      </c>
      <c r="T170" s="6" t="b">
        <f t="shared" si="43"/>
        <v>0</v>
      </c>
      <c r="U170" s="6">
        <v>3.3E-3</v>
      </c>
      <c r="V170" s="6" t="b">
        <f t="shared" si="44"/>
        <v>0</v>
      </c>
      <c r="W170" s="6">
        <v>73</v>
      </c>
      <c r="X170" s="6" t="b">
        <f t="shared" si="45"/>
        <v>0</v>
      </c>
      <c r="Y170" s="6">
        <v>84</v>
      </c>
      <c r="Z170" s="6" t="b">
        <f t="shared" si="46"/>
        <v>0</v>
      </c>
      <c r="AA170" s="6">
        <v>20.890999999999998</v>
      </c>
      <c r="AB170" s="6" t="b">
        <f t="shared" si="47"/>
        <v>0</v>
      </c>
      <c r="AC170" s="6">
        <v>17.428999999999998</v>
      </c>
      <c r="AD170" s="8" t="b">
        <f t="shared" si="48"/>
        <v>0</v>
      </c>
      <c r="AE170" s="8">
        <f t="shared" si="49"/>
        <v>3.4619999999999997</v>
      </c>
      <c r="AF170" t="b">
        <f t="shared" si="50"/>
        <v>0</v>
      </c>
    </row>
    <row r="171" spans="1:32" x14ac:dyDescent="0.3">
      <c r="A171" s="6">
        <v>510</v>
      </c>
      <c r="B171" s="6" t="b">
        <f t="shared" si="34"/>
        <v>0</v>
      </c>
      <c r="C171" s="6">
        <v>10</v>
      </c>
      <c r="D171" s="6" t="b">
        <f t="shared" si="35"/>
        <v>1</v>
      </c>
      <c r="E171" s="6">
        <v>6</v>
      </c>
      <c r="F171" s="6" t="b">
        <f t="shared" si="36"/>
        <v>0</v>
      </c>
      <c r="G171" s="6">
        <v>145</v>
      </c>
      <c r="H171" s="6" t="b">
        <f t="shared" si="37"/>
        <v>0</v>
      </c>
      <c r="I171" s="6">
        <v>2</v>
      </c>
      <c r="J171" s="6" t="b">
        <f t="shared" si="38"/>
        <v>0</v>
      </c>
      <c r="K171" s="6">
        <v>2.94</v>
      </c>
      <c r="L171" s="6" t="b">
        <f t="shared" si="39"/>
        <v>0</v>
      </c>
      <c r="M171" s="6">
        <v>41</v>
      </c>
      <c r="N171" s="6" t="b">
        <f t="shared" si="40"/>
        <v>0</v>
      </c>
      <c r="O171" s="6">
        <v>10</v>
      </c>
      <c r="P171" s="6" t="b">
        <f t="shared" si="41"/>
        <v>0</v>
      </c>
      <c r="Q171" s="6">
        <v>60</v>
      </c>
      <c r="R171" s="6" t="b">
        <f t="shared" si="42"/>
        <v>0</v>
      </c>
      <c r="S171" s="6">
        <v>14</v>
      </c>
      <c r="T171" s="6" t="b">
        <f t="shared" si="43"/>
        <v>0</v>
      </c>
      <c r="U171" s="6">
        <v>3.3999999999999998E-3</v>
      </c>
      <c r="V171" s="6" t="b">
        <f t="shared" si="44"/>
        <v>0</v>
      </c>
      <c r="W171" s="6">
        <v>58</v>
      </c>
      <c r="X171" s="6" t="b">
        <f t="shared" si="45"/>
        <v>0</v>
      </c>
      <c r="Y171" s="6">
        <v>87</v>
      </c>
      <c r="Z171" s="6" t="b">
        <f t="shared" si="46"/>
        <v>0</v>
      </c>
      <c r="AA171" s="6">
        <v>96.727999999999994</v>
      </c>
      <c r="AB171" s="6" t="b">
        <f t="shared" si="47"/>
        <v>0</v>
      </c>
      <c r="AC171" s="6">
        <v>45.222999999999999</v>
      </c>
      <c r="AD171" s="8" t="b">
        <f t="shared" si="48"/>
        <v>0</v>
      </c>
      <c r="AE171" s="8">
        <f t="shared" si="49"/>
        <v>51.504999999999995</v>
      </c>
      <c r="AF171" t="b">
        <f t="shared" si="50"/>
        <v>0</v>
      </c>
    </row>
    <row r="172" spans="1:32" x14ac:dyDescent="0.3">
      <c r="A172" s="6">
        <v>650</v>
      </c>
      <c r="B172" s="6" t="b">
        <f t="shared" si="34"/>
        <v>0</v>
      </c>
      <c r="C172" s="6">
        <v>3</v>
      </c>
      <c r="D172" s="6" t="b">
        <f t="shared" si="35"/>
        <v>0</v>
      </c>
      <c r="E172" s="6">
        <v>6</v>
      </c>
      <c r="F172" s="6" t="b">
        <f t="shared" si="36"/>
        <v>0</v>
      </c>
      <c r="G172" s="6">
        <v>152</v>
      </c>
      <c r="H172" s="6" t="b">
        <f t="shared" si="37"/>
        <v>0</v>
      </c>
      <c r="I172" s="6">
        <v>3.5</v>
      </c>
      <c r="J172" s="6" t="b">
        <f t="shared" si="38"/>
        <v>0</v>
      </c>
      <c r="K172" s="6">
        <v>2.94</v>
      </c>
      <c r="L172" s="6" t="b">
        <f t="shared" si="39"/>
        <v>0</v>
      </c>
      <c r="M172" s="6">
        <v>155</v>
      </c>
      <c r="N172" s="6" t="b">
        <f t="shared" si="40"/>
        <v>0</v>
      </c>
      <c r="O172" s="6">
        <v>7</v>
      </c>
      <c r="P172" s="6" t="b">
        <f t="shared" si="41"/>
        <v>0</v>
      </c>
      <c r="Q172" s="6">
        <v>69</v>
      </c>
      <c r="R172" s="6" t="b">
        <f t="shared" si="42"/>
        <v>0</v>
      </c>
      <c r="S172" s="6">
        <v>13</v>
      </c>
      <c r="T172" s="6" t="b">
        <f t="shared" si="43"/>
        <v>0</v>
      </c>
      <c r="U172" s="6">
        <v>2.2000000000000001E-3</v>
      </c>
      <c r="V172" s="6" t="b">
        <f t="shared" si="44"/>
        <v>0</v>
      </c>
      <c r="W172" s="6">
        <v>101</v>
      </c>
      <c r="X172" s="6" t="b">
        <f t="shared" si="45"/>
        <v>0</v>
      </c>
      <c r="Y172" s="6">
        <v>51</v>
      </c>
      <c r="Z172" s="6" t="b">
        <f t="shared" si="46"/>
        <v>0</v>
      </c>
      <c r="AA172" s="6">
        <v>41.613</v>
      </c>
      <c r="AB172" s="6" t="b">
        <f t="shared" si="47"/>
        <v>0</v>
      </c>
      <c r="AC172" s="6">
        <v>12.193</v>
      </c>
      <c r="AD172" s="8" t="b">
        <f t="shared" si="48"/>
        <v>0</v>
      </c>
      <c r="AE172" s="8">
        <f t="shared" si="49"/>
        <v>29.42</v>
      </c>
      <c r="AF172" t="b">
        <f t="shared" si="50"/>
        <v>0</v>
      </c>
    </row>
    <row r="173" spans="1:32" x14ac:dyDescent="0.3">
      <c r="A173" s="6">
        <v>640</v>
      </c>
      <c r="B173" s="6" t="b">
        <f t="shared" si="34"/>
        <v>0</v>
      </c>
      <c r="C173" s="6">
        <v>10</v>
      </c>
      <c r="D173" s="6" t="b">
        <f t="shared" si="35"/>
        <v>1</v>
      </c>
      <c r="E173" s="6">
        <v>2</v>
      </c>
      <c r="F173" s="6" t="b">
        <f t="shared" si="36"/>
        <v>0</v>
      </c>
      <c r="G173" s="6">
        <v>165</v>
      </c>
      <c r="H173" s="6" t="b">
        <f t="shared" si="37"/>
        <v>0</v>
      </c>
      <c r="I173" s="6">
        <v>3.5</v>
      </c>
      <c r="J173" s="6" t="b">
        <f t="shared" si="38"/>
        <v>0</v>
      </c>
      <c r="K173" s="6">
        <v>2.94</v>
      </c>
      <c r="L173" s="6" t="b">
        <f t="shared" si="39"/>
        <v>0</v>
      </c>
      <c r="M173" s="6">
        <v>293</v>
      </c>
      <c r="N173" s="6" t="b">
        <f t="shared" si="40"/>
        <v>0</v>
      </c>
      <c r="O173" s="6">
        <v>6</v>
      </c>
      <c r="P173" s="6" t="b">
        <f t="shared" si="41"/>
        <v>0</v>
      </c>
      <c r="Q173" s="6">
        <v>45</v>
      </c>
      <c r="R173" s="6" t="b">
        <f t="shared" si="42"/>
        <v>0</v>
      </c>
      <c r="S173" s="6">
        <v>15</v>
      </c>
      <c r="T173" s="6" t="b">
        <f t="shared" si="43"/>
        <v>0</v>
      </c>
      <c r="U173" s="6">
        <v>2.5000000000000001E-3</v>
      </c>
      <c r="V173" s="6" t="b">
        <f t="shared" si="44"/>
        <v>0</v>
      </c>
      <c r="W173" s="6">
        <v>56</v>
      </c>
      <c r="X173" s="6" t="b">
        <f t="shared" si="45"/>
        <v>0</v>
      </c>
      <c r="Y173" s="6">
        <v>109</v>
      </c>
      <c r="Z173" s="6" t="b">
        <f t="shared" si="46"/>
        <v>0</v>
      </c>
      <c r="AA173" s="6">
        <v>126.303</v>
      </c>
      <c r="AB173" s="6" t="b">
        <f t="shared" si="47"/>
        <v>0</v>
      </c>
      <c r="AC173" s="6">
        <v>17.481999999999999</v>
      </c>
      <c r="AD173" s="8" t="b">
        <f t="shared" si="48"/>
        <v>0</v>
      </c>
      <c r="AE173" s="8">
        <f t="shared" si="49"/>
        <v>108.821</v>
      </c>
      <c r="AF173" t="b">
        <f t="shared" si="50"/>
        <v>0</v>
      </c>
    </row>
    <row r="174" spans="1:32" x14ac:dyDescent="0.3">
      <c r="A174" s="6">
        <v>507</v>
      </c>
      <c r="B174" s="6" t="b">
        <f t="shared" si="34"/>
        <v>0</v>
      </c>
      <c r="C174" s="6">
        <v>9</v>
      </c>
      <c r="D174" s="6" t="b">
        <f t="shared" si="35"/>
        <v>1</v>
      </c>
      <c r="E174" s="6">
        <v>8</v>
      </c>
      <c r="F174" s="6" t="b">
        <f t="shared" si="36"/>
        <v>0</v>
      </c>
      <c r="G174" s="6">
        <v>160</v>
      </c>
      <c r="H174" s="6" t="b">
        <f t="shared" si="37"/>
        <v>0</v>
      </c>
      <c r="I174" s="6">
        <v>4.4000000000000004</v>
      </c>
      <c r="J174" s="6" t="b">
        <f t="shared" si="38"/>
        <v>0</v>
      </c>
      <c r="K174" s="6">
        <v>2.94</v>
      </c>
      <c r="L174" s="6" t="b">
        <f t="shared" si="39"/>
        <v>0</v>
      </c>
      <c r="M174" s="6">
        <v>90</v>
      </c>
      <c r="N174" s="6" t="b">
        <f t="shared" si="40"/>
        <v>0</v>
      </c>
      <c r="O174" s="6">
        <v>7</v>
      </c>
      <c r="P174" s="6" t="b">
        <f t="shared" si="41"/>
        <v>0</v>
      </c>
      <c r="Q174" s="6">
        <v>66</v>
      </c>
      <c r="R174" s="6" t="b">
        <f t="shared" si="42"/>
        <v>0</v>
      </c>
      <c r="S174" s="6">
        <v>12</v>
      </c>
      <c r="T174" s="6" t="b">
        <f t="shared" si="43"/>
        <v>0</v>
      </c>
      <c r="U174" s="6">
        <v>2.7000000000000001E-3</v>
      </c>
      <c r="V174" s="6" t="b">
        <f t="shared" si="44"/>
        <v>0</v>
      </c>
      <c r="W174" s="6">
        <v>72</v>
      </c>
      <c r="X174" s="6" t="b">
        <f t="shared" si="45"/>
        <v>0</v>
      </c>
      <c r="Y174" s="6">
        <v>88</v>
      </c>
      <c r="Z174" s="6" t="b">
        <f t="shared" si="46"/>
        <v>0</v>
      </c>
      <c r="AA174" s="6">
        <v>51.203000000000003</v>
      </c>
      <c r="AB174" s="6" t="b">
        <f t="shared" si="47"/>
        <v>0</v>
      </c>
      <c r="AC174" s="6">
        <v>14.819000000000001</v>
      </c>
      <c r="AD174" s="8" t="b">
        <f t="shared" si="48"/>
        <v>0</v>
      </c>
      <c r="AE174" s="8">
        <f t="shared" si="49"/>
        <v>36.384</v>
      </c>
      <c r="AF174" t="b">
        <f t="shared" si="50"/>
        <v>0</v>
      </c>
    </row>
    <row r="175" spans="1:32" x14ac:dyDescent="0.3">
      <c r="A175" s="6">
        <v>480</v>
      </c>
      <c r="B175" s="6" t="b">
        <f t="shared" si="34"/>
        <v>0</v>
      </c>
      <c r="C175" s="6">
        <v>7</v>
      </c>
      <c r="D175" s="6" t="b">
        <f t="shared" si="35"/>
        <v>0</v>
      </c>
      <c r="E175" s="6">
        <v>3</v>
      </c>
      <c r="F175" s="6" t="b">
        <f t="shared" si="36"/>
        <v>0</v>
      </c>
      <c r="G175" s="6">
        <v>150</v>
      </c>
      <c r="H175" s="6" t="b">
        <f t="shared" si="37"/>
        <v>0</v>
      </c>
      <c r="I175" s="6">
        <v>3</v>
      </c>
      <c r="J175" s="6" t="b">
        <f t="shared" si="38"/>
        <v>0</v>
      </c>
      <c r="K175" s="6">
        <v>2.94</v>
      </c>
      <c r="L175" s="6" t="b">
        <f t="shared" si="39"/>
        <v>0</v>
      </c>
      <c r="M175" s="6">
        <v>318</v>
      </c>
      <c r="N175" s="6" t="b">
        <f t="shared" si="40"/>
        <v>0</v>
      </c>
      <c r="O175" s="6">
        <v>5</v>
      </c>
      <c r="P175" s="6" t="b">
        <f t="shared" si="41"/>
        <v>0</v>
      </c>
      <c r="Q175" s="6">
        <v>44</v>
      </c>
      <c r="R175" s="6" t="b">
        <f t="shared" si="42"/>
        <v>0</v>
      </c>
      <c r="S175" s="6">
        <v>17</v>
      </c>
      <c r="T175" s="6" t="b">
        <f t="shared" si="43"/>
        <v>0</v>
      </c>
      <c r="U175" s="6">
        <v>2.3999999999999998E-3</v>
      </c>
      <c r="V175" s="6" t="b">
        <f t="shared" si="44"/>
        <v>0</v>
      </c>
      <c r="W175" s="6">
        <v>41</v>
      </c>
      <c r="X175" s="6" t="b">
        <f t="shared" si="45"/>
        <v>0</v>
      </c>
      <c r="Y175" s="6">
        <v>109</v>
      </c>
      <c r="Z175" s="6" t="b">
        <f t="shared" si="46"/>
        <v>0</v>
      </c>
      <c r="AA175" s="6">
        <v>103.563</v>
      </c>
      <c r="AB175" s="6" t="b">
        <f t="shared" si="47"/>
        <v>0</v>
      </c>
      <c r="AC175" s="6">
        <v>22.317</v>
      </c>
      <c r="AD175" s="8" t="b">
        <f t="shared" si="48"/>
        <v>0</v>
      </c>
      <c r="AE175" s="8">
        <f t="shared" si="49"/>
        <v>81.246000000000009</v>
      </c>
      <c r="AF175" t="b">
        <f t="shared" si="50"/>
        <v>0</v>
      </c>
    </row>
    <row r="176" spans="1:32" x14ac:dyDescent="0.3">
      <c r="A176" s="6">
        <v>509</v>
      </c>
      <c r="B176" s="6" t="b">
        <f t="shared" si="34"/>
        <v>0</v>
      </c>
      <c r="C176" s="6">
        <v>10</v>
      </c>
      <c r="D176" s="6" t="b">
        <f t="shared" si="35"/>
        <v>1</v>
      </c>
      <c r="E176" s="6">
        <v>10</v>
      </c>
      <c r="F176" s="6" t="b">
        <f t="shared" si="36"/>
        <v>0</v>
      </c>
      <c r="G176" s="6">
        <v>169</v>
      </c>
      <c r="H176" s="6" t="b">
        <f t="shared" si="37"/>
        <v>0</v>
      </c>
      <c r="I176" s="6">
        <v>0.9</v>
      </c>
      <c r="J176" s="6" t="b">
        <f t="shared" si="38"/>
        <v>0</v>
      </c>
      <c r="K176" s="6">
        <v>2.94</v>
      </c>
      <c r="L176" s="6" t="b">
        <f t="shared" si="39"/>
        <v>0</v>
      </c>
      <c r="M176" s="6">
        <v>41</v>
      </c>
      <c r="N176" s="6" t="b">
        <f t="shared" si="40"/>
        <v>0</v>
      </c>
      <c r="O176" s="6">
        <v>10</v>
      </c>
      <c r="P176" s="6" t="b">
        <f t="shared" si="41"/>
        <v>0</v>
      </c>
      <c r="Q176" s="6">
        <v>79</v>
      </c>
      <c r="R176" s="6" t="b">
        <f t="shared" si="42"/>
        <v>0</v>
      </c>
      <c r="S176" s="6">
        <v>15</v>
      </c>
      <c r="T176" s="6" t="b">
        <f t="shared" si="43"/>
        <v>0</v>
      </c>
      <c r="U176" s="6">
        <v>2.5000000000000001E-3</v>
      </c>
      <c r="V176" s="6" t="b">
        <f t="shared" si="44"/>
        <v>0</v>
      </c>
      <c r="W176" s="6">
        <v>96</v>
      </c>
      <c r="X176" s="6" t="b">
        <f t="shared" si="45"/>
        <v>0</v>
      </c>
      <c r="Y176" s="6">
        <v>73</v>
      </c>
      <c r="Z176" s="6" t="b">
        <f t="shared" si="46"/>
        <v>0</v>
      </c>
      <c r="AA176" s="6">
        <v>144.28100000000001</v>
      </c>
      <c r="AB176" s="6" t="b">
        <f t="shared" si="47"/>
        <v>0</v>
      </c>
      <c r="AC176" s="6">
        <v>35.052999999999997</v>
      </c>
      <c r="AD176" s="8" t="b">
        <f t="shared" si="48"/>
        <v>0</v>
      </c>
      <c r="AE176" s="8">
        <f t="shared" si="49"/>
        <v>109.22800000000001</v>
      </c>
      <c r="AF176" t="b">
        <f t="shared" si="50"/>
        <v>0</v>
      </c>
    </row>
    <row r="177" spans="1:33" x14ac:dyDescent="0.3">
      <c r="A177" s="6">
        <v>478</v>
      </c>
      <c r="B177" s="6" t="b">
        <f t="shared" si="34"/>
        <v>0</v>
      </c>
      <c r="C177" s="6">
        <v>10</v>
      </c>
      <c r="D177" s="6" t="b">
        <f t="shared" si="35"/>
        <v>1</v>
      </c>
      <c r="E177" s="6">
        <v>16</v>
      </c>
      <c r="F177" s="6" t="b">
        <f t="shared" si="36"/>
        <v>1</v>
      </c>
      <c r="G177" s="6">
        <v>169</v>
      </c>
      <c r="H177" s="6" t="b">
        <f t="shared" si="37"/>
        <v>0</v>
      </c>
      <c r="I177" s="6">
        <v>1.3</v>
      </c>
      <c r="J177" s="6" t="b">
        <f t="shared" si="38"/>
        <v>0</v>
      </c>
      <c r="K177" s="6">
        <v>2.94</v>
      </c>
      <c r="L177" s="6" t="b">
        <f t="shared" si="39"/>
        <v>0</v>
      </c>
      <c r="M177" s="6">
        <v>142</v>
      </c>
      <c r="N177" s="6" t="b">
        <f t="shared" si="40"/>
        <v>0</v>
      </c>
      <c r="O177" s="6">
        <v>15</v>
      </c>
      <c r="P177" s="6" t="b">
        <f t="shared" si="41"/>
        <v>0</v>
      </c>
      <c r="Q177" s="6">
        <v>110</v>
      </c>
      <c r="R177" s="6" t="b">
        <f t="shared" si="42"/>
        <v>0</v>
      </c>
      <c r="S177" s="6">
        <v>16</v>
      </c>
      <c r="T177" s="6" t="b">
        <f t="shared" si="43"/>
        <v>0</v>
      </c>
      <c r="U177" s="6">
        <v>2.5000000000000001E-3</v>
      </c>
      <c r="V177" s="6" t="b">
        <f t="shared" si="44"/>
        <v>0</v>
      </c>
      <c r="W177" s="6">
        <v>120</v>
      </c>
      <c r="X177" s="6" t="b">
        <f t="shared" si="45"/>
        <v>0</v>
      </c>
      <c r="Y177" s="6">
        <v>49</v>
      </c>
      <c r="Z177" s="6" t="b">
        <f t="shared" si="46"/>
        <v>0</v>
      </c>
      <c r="AA177" s="6">
        <v>240.89099999999999</v>
      </c>
      <c r="AB177" s="6" t="b">
        <f t="shared" si="47"/>
        <v>1</v>
      </c>
      <c r="AC177" s="6">
        <v>59.067</v>
      </c>
      <c r="AD177" s="8" t="b">
        <f t="shared" si="48"/>
        <v>0</v>
      </c>
      <c r="AE177" s="8">
        <f t="shared" si="49"/>
        <v>181.82399999999998</v>
      </c>
      <c r="AF177" t="b">
        <f t="shared" si="50"/>
        <v>1</v>
      </c>
    </row>
    <row r="178" spans="1:33" x14ac:dyDescent="0.3">
      <c r="A178" s="6">
        <v>500</v>
      </c>
      <c r="B178" s="6" t="b">
        <f t="shared" si="34"/>
        <v>0</v>
      </c>
      <c r="C178" s="6">
        <v>10</v>
      </c>
      <c r="D178" s="6" t="b">
        <f t="shared" si="35"/>
        <v>1</v>
      </c>
      <c r="E178" s="6">
        <v>3</v>
      </c>
      <c r="F178" s="6" t="b">
        <f t="shared" si="36"/>
        <v>0</v>
      </c>
      <c r="G178" s="6">
        <v>148</v>
      </c>
      <c r="H178" s="6" t="b">
        <f t="shared" si="37"/>
        <v>0</v>
      </c>
      <c r="I178" s="6">
        <v>13.1</v>
      </c>
      <c r="J178" s="6" t="b">
        <f t="shared" si="38"/>
        <v>1</v>
      </c>
      <c r="K178" s="6">
        <v>2.94</v>
      </c>
      <c r="L178" s="6" t="b">
        <f t="shared" si="39"/>
        <v>0</v>
      </c>
      <c r="M178" s="6">
        <v>114</v>
      </c>
      <c r="N178" s="6" t="b">
        <f t="shared" si="40"/>
        <v>0</v>
      </c>
      <c r="O178" s="6">
        <v>10</v>
      </c>
      <c r="P178" s="6" t="b">
        <f t="shared" si="41"/>
        <v>0</v>
      </c>
      <c r="Q178" s="6">
        <v>89</v>
      </c>
      <c r="R178" s="6" t="b">
        <f t="shared" si="42"/>
        <v>0</v>
      </c>
      <c r="S178" s="6">
        <v>16</v>
      </c>
      <c r="T178" s="6" t="b">
        <f t="shared" si="43"/>
        <v>0</v>
      </c>
      <c r="U178" s="6">
        <v>2.2000000000000001E-3</v>
      </c>
      <c r="V178" s="6" t="b">
        <f t="shared" si="44"/>
        <v>0</v>
      </c>
      <c r="W178" s="6">
        <v>79</v>
      </c>
      <c r="X178" s="6" t="b">
        <f t="shared" si="45"/>
        <v>0</v>
      </c>
      <c r="Y178" s="6">
        <v>69</v>
      </c>
      <c r="Z178" s="6" t="b">
        <f t="shared" si="46"/>
        <v>0</v>
      </c>
      <c r="AA178" s="6">
        <v>298.54399999999998</v>
      </c>
      <c r="AB178" s="6" t="b">
        <f t="shared" si="47"/>
        <v>1</v>
      </c>
      <c r="AC178" s="6">
        <v>36.529000000000003</v>
      </c>
      <c r="AD178" s="8" t="b">
        <f t="shared" si="48"/>
        <v>0</v>
      </c>
      <c r="AE178" s="8">
        <f t="shared" si="49"/>
        <v>262.01499999999999</v>
      </c>
      <c r="AF178" t="b">
        <f t="shared" si="50"/>
        <v>1</v>
      </c>
    </row>
    <row r="179" spans="1:33" x14ac:dyDescent="0.3">
      <c r="A179" s="6">
        <v>470</v>
      </c>
      <c r="B179" s="6" t="b">
        <f t="shared" si="34"/>
        <v>0</v>
      </c>
      <c r="C179" s="6">
        <v>10</v>
      </c>
      <c r="D179" s="6" t="b">
        <f t="shared" si="35"/>
        <v>1</v>
      </c>
      <c r="E179" s="6">
        <v>6</v>
      </c>
      <c r="F179" s="6" t="b">
        <f t="shared" si="36"/>
        <v>0</v>
      </c>
      <c r="G179" s="6">
        <v>165</v>
      </c>
      <c r="H179" s="6" t="b">
        <f t="shared" si="37"/>
        <v>0</v>
      </c>
      <c r="I179" s="6">
        <v>2.8</v>
      </c>
      <c r="J179" s="6" t="b">
        <f t="shared" si="38"/>
        <v>0</v>
      </c>
      <c r="K179" s="6">
        <v>2.94</v>
      </c>
      <c r="L179" s="6" t="b">
        <f t="shared" si="39"/>
        <v>0</v>
      </c>
      <c r="M179" s="6">
        <v>221</v>
      </c>
      <c r="N179" s="6" t="b">
        <f t="shared" si="40"/>
        <v>0</v>
      </c>
      <c r="O179" s="6">
        <v>5</v>
      </c>
      <c r="P179" s="6" t="b">
        <f t="shared" si="41"/>
        <v>0</v>
      </c>
      <c r="Q179" s="6">
        <v>46</v>
      </c>
      <c r="R179" s="6" t="b">
        <f t="shared" si="42"/>
        <v>0</v>
      </c>
      <c r="S179" s="6">
        <v>14</v>
      </c>
      <c r="T179" s="6" t="b">
        <f t="shared" si="43"/>
        <v>0</v>
      </c>
      <c r="U179" s="6">
        <v>1.6999999999999999E-3</v>
      </c>
      <c r="V179" s="6" t="b">
        <f t="shared" si="44"/>
        <v>0</v>
      </c>
      <c r="W179" s="6">
        <v>99</v>
      </c>
      <c r="X179" s="6" t="b">
        <f t="shared" si="45"/>
        <v>0</v>
      </c>
      <c r="Y179" s="6">
        <v>66</v>
      </c>
      <c r="Z179" s="6" t="b">
        <f t="shared" si="46"/>
        <v>0</v>
      </c>
      <c r="AA179" s="6">
        <v>157.08699999999999</v>
      </c>
      <c r="AB179" s="6" t="b">
        <f t="shared" si="47"/>
        <v>0</v>
      </c>
      <c r="AC179" s="6">
        <v>13.241</v>
      </c>
      <c r="AD179" s="8" t="b">
        <f t="shared" si="48"/>
        <v>0</v>
      </c>
      <c r="AE179" s="8">
        <f t="shared" si="49"/>
        <v>143.846</v>
      </c>
      <c r="AF179" t="b">
        <f t="shared" si="50"/>
        <v>1</v>
      </c>
    </row>
    <row r="180" spans="1:33" x14ac:dyDescent="0.3">
      <c r="A180" s="6">
        <v>370</v>
      </c>
      <c r="B180" s="6" t="b">
        <f t="shared" si="34"/>
        <v>0</v>
      </c>
      <c r="C180" s="6">
        <v>8</v>
      </c>
      <c r="D180" s="6" t="b">
        <f t="shared" si="35"/>
        <v>0</v>
      </c>
      <c r="E180" s="6">
        <v>10</v>
      </c>
      <c r="F180" s="6" t="b">
        <f t="shared" si="36"/>
        <v>0</v>
      </c>
      <c r="G180" s="6">
        <v>150</v>
      </c>
      <c r="H180" s="6" t="b">
        <f t="shared" si="37"/>
        <v>0</v>
      </c>
      <c r="I180" s="6">
        <v>1.3</v>
      </c>
      <c r="J180" s="6" t="b">
        <f t="shared" si="38"/>
        <v>0</v>
      </c>
      <c r="K180" s="6">
        <v>2.94</v>
      </c>
      <c r="L180" s="6" t="b">
        <f t="shared" si="39"/>
        <v>0</v>
      </c>
      <c r="M180" s="6">
        <v>221</v>
      </c>
      <c r="N180" s="6" t="b">
        <f t="shared" si="40"/>
        <v>0</v>
      </c>
      <c r="O180" s="6">
        <v>7</v>
      </c>
      <c r="P180" s="6" t="b">
        <f t="shared" si="41"/>
        <v>0</v>
      </c>
      <c r="Q180" s="6">
        <v>48</v>
      </c>
      <c r="R180" s="6" t="b">
        <f t="shared" si="42"/>
        <v>0</v>
      </c>
      <c r="S180" s="6">
        <v>18</v>
      </c>
      <c r="T180" s="6" t="b">
        <f t="shared" si="43"/>
        <v>0</v>
      </c>
      <c r="U180" s="6">
        <v>2E-3</v>
      </c>
      <c r="V180" s="6" t="b">
        <f t="shared" si="44"/>
        <v>0</v>
      </c>
      <c r="W180" s="6">
        <v>44</v>
      </c>
      <c r="X180" s="6" t="b">
        <f t="shared" si="45"/>
        <v>0</v>
      </c>
      <c r="Y180" s="6">
        <v>106</v>
      </c>
      <c r="Z180" s="6" t="b">
        <f t="shared" si="46"/>
        <v>0</v>
      </c>
      <c r="AA180" s="6">
        <v>140.136</v>
      </c>
      <c r="AB180" s="6" t="b">
        <f t="shared" si="47"/>
        <v>0</v>
      </c>
      <c r="AC180" s="6">
        <v>26.725000000000001</v>
      </c>
      <c r="AD180" s="8" t="b">
        <f t="shared" si="48"/>
        <v>0</v>
      </c>
      <c r="AE180" s="8">
        <f t="shared" si="49"/>
        <v>113.411</v>
      </c>
      <c r="AF180" t="b">
        <f t="shared" si="50"/>
        <v>0</v>
      </c>
    </row>
    <row r="181" spans="1:33" x14ac:dyDescent="0.3">
      <c r="A181" s="6">
        <v>480</v>
      </c>
      <c r="B181" s="6" t="b">
        <f t="shared" si="34"/>
        <v>0</v>
      </c>
      <c r="C181" s="6">
        <v>11</v>
      </c>
      <c r="D181" s="6" t="b">
        <f t="shared" si="35"/>
        <v>1</v>
      </c>
      <c r="E181" s="6">
        <v>4</v>
      </c>
      <c r="F181" s="6" t="b">
        <f t="shared" si="36"/>
        <v>0</v>
      </c>
      <c r="G181" s="6">
        <v>150</v>
      </c>
      <c r="H181" s="6" t="b">
        <f t="shared" si="37"/>
        <v>0</v>
      </c>
      <c r="I181" s="6">
        <v>1.5</v>
      </c>
      <c r="J181" s="6" t="b">
        <f t="shared" si="38"/>
        <v>0</v>
      </c>
      <c r="K181" s="6">
        <v>2.94</v>
      </c>
      <c r="L181" s="6" t="b">
        <f t="shared" si="39"/>
        <v>0</v>
      </c>
      <c r="M181" s="6">
        <v>254</v>
      </c>
      <c r="N181" s="6" t="b">
        <f t="shared" si="40"/>
        <v>0</v>
      </c>
      <c r="O181" s="6">
        <v>0</v>
      </c>
      <c r="P181" s="6" t="b">
        <f t="shared" si="41"/>
        <v>0</v>
      </c>
      <c r="Q181" s="6">
        <v>51</v>
      </c>
      <c r="R181" s="6" t="b">
        <f t="shared" si="42"/>
        <v>0</v>
      </c>
      <c r="S181" s="6">
        <v>15</v>
      </c>
      <c r="T181" s="6" t="b">
        <f t="shared" si="43"/>
        <v>0</v>
      </c>
      <c r="U181" s="6">
        <v>1.9E-3</v>
      </c>
      <c r="V181" s="6" t="b">
        <f t="shared" si="44"/>
        <v>0</v>
      </c>
      <c r="W181" s="6">
        <v>118</v>
      </c>
      <c r="X181" s="6" t="b">
        <f t="shared" si="45"/>
        <v>0</v>
      </c>
      <c r="Y181" s="6">
        <v>32</v>
      </c>
      <c r="Z181" s="6" t="b">
        <f t="shared" si="46"/>
        <v>0</v>
      </c>
      <c r="AA181" s="6">
        <v>87.989000000000004</v>
      </c>
      <c r="AB181" s="6" t="b">
        <f t="shared" si="47"/>
        <v>0</v>
      </c>
      <c r="AC181" s="6">
        <v>7.3559999999999999</v>
      </c>
      <c r="AD181" s="8" t="b">
        <f t="shared" si="48"/>
        <v>0</v>
      </c>
      <c r="AE181" s="8">
        <f t="shared" si="49"/>
        <v>80.63300000000001</v>
      </c>
      <c r="AF181" t="b">
        <f t="shared" si="50"/>
        <v>0</v>
      </c>
    </row>
    <row r="182" spans="1:33" x14ac:dyDescent="0.3">
      <c r="A182" s="6">
        <v>287</v>
      </c>
      <c r="B182" s="6" t="b">
        <f t="shared" si="34"/>
        <v>0</v>
      </c>
      <c r="C182" s="6">
        <v>3</v>
      </c>
      <c r="D182" s="6" t="b">
        <f t="shared" si="35"/>
        <v>0</v>
      </c>
      <c r="E182" s="6">
        <v>5</v>
      </c>
      <c r="F182" s="6" t="b">
        <f t="shared" si="36"/>
        <v>0</v>
      </c>
      <c r="G182" s="6">
        <v>180</v>
      </c>
      <c r="H182" s="6" t="b">
        <f t="shared" si="37"/>
        <v>0</v>
      </c>
      <c r="I182" s="6">
        <v>2.5</v>
      </c>
      <c r="J182" s="6" t="b">
        <f t="shared" si="38"/>
        <v>0</v>
      </c>
      <c r="K182" s="6">
        <v>2.94</v>
      </c>
      <c r="L182" s="6" t="b">
        <f t="shared" si="39"/>
        <v>0</v>
      </c>
      <c r="M182" s="6">
        <v>349</v>
      </c>
      <c r="N182" s="6" t="b">
        <f t="shared" si="40"/>
        <v>0</v>
      </c>
      <c r="O182" s="6">
        <v>5</v>
      </c>
      <c r="P182" s="6" t="b">
        <f t="shared" si="41"/>
        <v>0</v>
      </c>
      <c r="Q182" s="6">
        <v>57</v>
      </c>
      <c r="R182" s="6" t="b">
        <f t="shared" si="42"/>
        <v>0</v>
      </c>
      <c r="S182" s="6">
        <v>12</v>
      </c>
      <c r="T182" s="6" t="b">
        <f t="shared" si="43"/>
        <v>0</v>
      </c>
      <c r="U182" s="6">
        <v>2.3E-3</v>
      </c>
      <c r="V182" s="6" t="b">
        <f t="shared" si="44"/>
        <v>0</v>
      </c>
      <c r="W182" s="6">
        <v>103</v>
      </c>
      <c r="X182" s="6" t="b">
        <f t="shared" si="45"/>
        <v>0</v>
      </c>
      <c r="Y182" s="6">
        <v>77</v>
      </c>
      <c r="Z182" s="6" t="b">
        <f t="shared" si="46"/>
        <v>0</v>
      </c>
      <c r="AA182" s="6">
        <v>59.249000000000002</v>
      </c>
      <c r="AB182" s="6" t="b">
        <f t="shared" si="47"/>
        <v>0</v>
      </c>
      <c r="AC182" s="6">
        <v>16.016999999999999</v>
      </c>
      <c r="AD182" s="8" t="b">
        <f t="shared" si="48"/>
        <v>0</v>
      </c>
      <c r="AE182" s="8">
        <f t="shared" si="49"/>
        <v>43.231999999999999</v>
      </c>
      <c r="AF182" t="b">
        <f t="shared" si="50"/>
        <v>0</v>
      </c>
    </row>
    <row r="183" spans="1:33" x14ac:dyDescent="0.3">
      <c r="A183" s="6">
        <v>170</v>
      </c>
      <c r="B183" s="6" t="b">
        <f t="shared" si="34"/>
        <v>0</v>
      </c>
      <c r="C183" s="6">
        <v>4</v>
      </c>
      <c r="D183" s="6" t="b">
        <f t="shared" si="35"/>
        <v>0</v>
      </c>
      <c r="E183" s="6">
        <v>5</v>
      </c>
      <c r="F183" s="6" t="b">
        <f t="shared" si="36"/>
        <v>0</v>
      </c>
      <c r="G183" s="6">
        <v>150</v>
      </c>
      <c r="H183" s="6" t="b">
        <f t="shared" si="37"/>
        <v>0</v>
      </c>
      <c r="I183" s="6">
        <v>2.5</v>
      </c>
      <c r="J183" s="6" t="b">
        <f t="shared" si="38"/>
        <v>0</v>
      </c>
      <c r="K183" s="6">
        <v>2.94</v>
      </c>
      <c r="L183" s="6" t="b">
        <f t="shared" si="39"/>
        <v>0</v>
      </c>
      <c r="M183" s="6">
        <v>299</v>
      </c>
      <c r="N183" s="6" t="b">
        <f t="shared" si="40"/>
        <v>0</v>
      </c>
      <c r="O183" s="6">
        <v>5</v>
      </c>
      <c r="P183" s="6" t="b">
        <f t="shared" si="41"/>
        <v>0</v>
      </c>
      <c r="Q183" s="6">
        <v>53</v>
      </c>
      <c r="R183" s="6" t="b">
        <f t="shared" si="42"/>
        <v>0</v>
      </c>
      <c r="S183" s="6">
        <v>11</v>
      </c>
      <c r="T183" s="6" t="b">
        <f t="shared" si="43"/>
        <v>0</v>
      </c>
      <c r="U183" s="6">
        <v>2.3E-3</v>
      </c>
      <c r="V183" s="6" t="b">
        <f t="shared" si="44"/>
        <v>0</v>
      </c>
      <c r="W183" s="6">
        <v>75</v>
      </c>
      <c r="X183" s="6" t="b">
        <f t="shared" si="45"/>
        <v>0</v>
      </c>
      <c r="Y183" s="6">
        <v>75</v>
      </c>
      <c r="Z183" s="6" t="b">
        <f t="shared" si="46"/>
        <v>0</v>
      </c>
      <c r="AA183" s="6">
        <v>26.038</v>
      </c>
      <c r="AB183" s="6" t="b">
        <f t="shared" si="47"/>
        <v>0</v>
      </c>
      <c r="AC183" s="6">
        <v>11.792999999999999</v>
      </c>
      <c r="AD183" s="8" t="b">
        <f t="shared" si="48"/>
        <v>0</v>
      </c>
      <c r="AE183" s="8">
        <f t="shared" si="49"/>
        <v>14.245000000000001</v>
      </c>
      <c r="AF183" t="b">
        <f t="shared" si="50"/>
        <v>0</v>
      </c>
    </row>
    <row r="184" spans="1:33" x14ac:dyDescent="0.3">
      <c r="A184" s="6">
        <v>569</v>
      </c>
      <c r="B184" s="6" t="b">
        <f t="shared" si="34"/>
        <v>0</v>
      </c>
      <c r="C184" s="6">
        <v>11</v>
      </c>
      <c r="D184" s="6" t="b">
        <f t="shared" si="35"/>
        <v>1</v>
      </c>
      <c r="E184" s="6">
        <v>10</v>
      </c>
      <c r="F184" s="6" t="b">
        <f t="shared" si="36"/>
        <v>0</v>
      </c>
      <c r="G184" s="6">
        <v>160</v>
      </c>
      <c r="H184" s="6" t="b">
        <f t="shared" si="37"/>
        <v>0</v>
      </c>
      <c r="I184" s="6">
        <v>1.3</v>
      </c>
      <c r="J184" s="6" t="b">
        <f t="shared" si="38"/>
        <v>0</v>
      </c>
      <c r="K184" s="6">
        <v>2.94</v>
      </c>
      <c r="L184" s="6" t="b">
        <f t="shared" si="39"/>
        <v>0</v>
      </c>
      <c r="M184" s="6">
        <v>221</v>
      </c>
      <c r="N184" s="6" t="b">
        <f t="shared" si="40"/>
        <v>0</v>
      </c>
      <c r="O184" s="6">
        <v>5</v>
      </c>
      <c r="P184" s="6" t="b">
        <f t="shared" si="41"/>
        <v>0</v>
      </c>
      <c r="Q184" s="6">
        <v>46</v>
      </c>
      <c r="R184" s="6" t="b">
        <f t="shared" si="42"/>
        <v>0</v>
      </c>
      <c r="S184" s="6">
        <v>16</v>
      </c>
      <c r="T184" s="6" t="b">
        <f t="shared" si="43"/>
        <v>0</v>
      </c>
      <c r="U184" s="6">
        <v>2E-3</v>
      </c>
      <c r="V184" s="6" t="b">
        <f t="shared" si="44"/>
        <v>0</v>
      </c>
      <c r="W184" s="6">
        <v>87</v>
      </c>
      <c r="X184" s="6" t="b">
        <f t="shared" si="45"/>
        <v>0</v>
      </c>
      <c r="Y184" s="6">
        <v>73</v>
      </c>
      <c r="Z184" s="6" t="b">
        <f t="shared" si="46"/>
        <v>0</v>
      </c>
      <c r="AA184" s="6">
        <v>108.003</v>
      </c>
      <c r="AB184" s="6" t="b">
        <f t="shared" si="47"/>
        <v>0</v>
      </c>
      <c r="AC184" s="6">
        <v>28.756</v>
      </c>
      <c r="AD184" s="8" t="b">
        <f t="shared" si="48"/>
        <v>0</v>
      </c>
      <c r="AE184" s="8">
        <f t="shared" si="49"/>
        <v>79.247</v>
      </c>
      <c r="AF184" t="b">
        <f t="shared" si="50"/>
        <v>0</v>
      </c>
    </row>
    <row r="185" spans="1:33" x14ac:dyDescent="0.3">
      <c r="A185" s="6">
        <v>270</v>
      </c>
      <c r="B185" s="6" t="b">
        <f t="shared" si="34"/>
        <v>0</v>
      </c>
      <c r="C185" s="6">
        <v>3</v>
      </c>
      <c r="D185" s="6" t="b">
        <f t="shared" si="35"/>
        <v>0</v>
      </c>
      <c r="E185" s="6">
        <v>7</v>
      </c>
      <c r="F185" s="6" t="b">
        <f t="shared" si="36"/>
        <v>0</v>
      </c>
      <c r="G185" s="6">
        <v>156</v>
      </c>
      <c r="H185" s="6" t="b">
        <f t="shared" si="37"/>
        <v>0</v>
      </c>
      <c r="I185" s="6">
        <v>4.5999999999999996</v>
      </c>
      <c r="J185" s="6" t="b">
        <f t="shared" si="38"/>
        <v>0</v>
      </c>
      <c r="K185" s="6">
        <v>2.94</v>
      </c>
      <c r="L185" s="6" t="b">
        <f t="shared" si="39"/>
        <v>0</v>
      </c>
      <c r="M185" s="6">
        <v>176</v>
      </c>
      <c r="N185" s="6" t="b">
        <f t="shared" si="40"/>
        <v>0</v>
      </c>
      <c r="O185" s="6">
        <v>15</v>
      </c>
      <c r="P185" s="6" t="b">
        <f t="shared" si="41"/>
        <v>0</v>
      </c>
      <c r="Q185" s="6">
        <v>95</v>
      </c>
      <c r="R185" s="6" t="b">
        <f t="shared" si="42"/>
        <v>0</v>
      </c>
      <c r="S185" s="6">
        <v>13</v>
      </c>
      <c r="T185" s="6" t="b">
        <f t="shared" si="43"/>
        <v>0</v>
      </c>
      <c r="U185" s="6">
        <v>3.5000000000000001E-3</v>
      </c>
      <c r="V185" s="6" t="b">
        <f t="shared" si="44"/>
        <v>0</v>
      </c>
      <c r="W185" s="6">
        <v>79</v>
      </c>
      <c r="X185" s="6" t="b">
        <f t="shared" si="45"/>
        <v>0</v>
      </c>
      <c r="Y185" s="6">
        <v>77</v>
      </c>
      <c r="Z185" s="6" t="b">
        <f t="shared" si="46"/>
        <v>0</v>
      </c>
      <c r="AA185" s="6">
        <v>29.443999999999999</v>
      </c>
      <c r="AB185" s="6" t="b">
        <f t="shared" si="47"/>
        <v>0</v>
      </c>
      <c r="AC185" s="6">
        <v>25.393999999999998</v>
      </c>
      <c r="AD185" s="8" t="b">
        <f t="shared" si="48"/>
        <v>0</v>
      </c>
      <c r="AE185" s="8">
        <f t="shared" si="49"/>
        <v>4.0500000000000007</v>
      </c>
      <c r="AF185" t="b">
        <f t="shared" si="50"/>
        <v>0</v>
      </c>
    </row>
    <row r="186" spans="1:33" x14ac:dyDescent="0.3">
      <c r="A186" s="6">
        <v>400</v>
      </c>
      <c r="B186" s="6" t="b">
        <f t="shared" si="34"/>
        <v>0</v>
      </c>
      <c r="C186" s="6">
        <v>4</v>
      </c>
      <c r="D186" s="6" t="b">
        <f t="shared" si="35"/>
        <v>0</v>
      </c>
      <c r="E186" s="6">
        <v>10</v>
      </c>
      <c r="F186" s="6" t="b">
        <f t="shared" si="36"/>
        <v>0</v>
      </c>
      <c r="G186" s="6">
        <v>142</v>
      </c>
      <c r="H186" s="6" t="b">
        <f t="shared" si="37"/>
        <v>0</v>
      </c>
      <c r="I186" s="6">
        <v>2.8</v>
      </c>
      <c r="J186" s="6" t="b">
        <f t="shared" si="38"/>
        <v>0</v>
      </c>
      <c r="K186" s="6">
        <v>2.94</v>
      </c>
      <c r="L186" s="6" t="b">
        <f t="shared" si="39"/>
        <v>0</v>
      </c>
      <c r="M186" s="6">
        <v>220</v>
      </c>
      <c r="N186" s="6" t="b">
        <f t="shared" si="40"/>
        <v>0</v>
      </c>
      <c r="O186" s="6">
        <v>10</v>
      </c>
      <c r="P186" s="6" t="b">
        <f t="shared" si="41"/>
        <v>0</v>
      </c>
      <c r="Q186" s="6">
        <v>84</v>
      </c>
      <c r="R186" s="6" t="b">
        <f t="shared" si="42"/>
        <v>0</v>
      </c>
      <c r="S186" s="6">
        <v>13</v>
      </c>
      <c r="T186" s="6" t="b">
        <f t="shared" si="43"/>
        <v>0</v>
      </c>
      <c r="U186" s="6">
        <v>2.1000000000000003E-3</v>
      </c>
      <c r="V186" s="6" t="b">
        <f t="shared" si="44"/>
        <v>0</v>
      </c>
      <c r="W186" s="6">
        <v>78</v>
      </c>
      <c r="X186" s="6" t="b">
        <f t="shared" si="45"/>
        <v>0</v>
      </c>
      <c r="Y186" s="6">
        <v>64</v>
      </c>
      <c r="Z186" s="6" t="b">
        <f t="shared" si="46"/>
        <v>0</v>
      </c>
      <c r="AA186" s="6">
        <v>64.120999999999995</v>
      </c>
      <c r="AB186" s="6" t="b">
        <f t="shared" si="47"/>
        <v>0</v>
      </c>
      <c r="AC186" s="6">
        <v>21.952999999999999</v>
      </c>
      <c r="AD186" s="8" t="b">
        <f t="shared" si="48"/>
        <v>0</v>
      </c>
      <c r="AE186" s="8">
        <f t="shared" si="49"/>
        <v>42.167999999999992</v>
      </c>
      <c r="AF186" t="b">
        <f t="shared" si="50"/>
        <v>0</v>
      </c>
    </row>
    <row r="187" spans="1:33" x14ac:dyDescent="0.3">
      <c r="A187" s="6">
        <v>330</v>
      </c>
      <c r="B187" s="6" t="b">
        <f>OR(A187&lt;$A$197,A187&gt;$A$196)</f>
        <v>0</v>
      </c>
      <c r="C187" s="6">
        <v>3</v>
      </c>
      <c r="D187" s="6" t="b">
        <f>OR(C187&lt;$C$197,C187&gt;$C$196)</f>
        <v>0</v>
      </c>
      <c r="E187" s="6">
        <v>3</v>
      </c>
      <c r="F187" s="6" t="b">
        <f t="shared" si="36"/>
        <v>0</v>
      </c>
      <c r="G187" s="6">
        <v>156</v>
      </c>
      <c r="H187" s="6" t="b">
        <f t="shared" si="37"/>
        <v>0</v>
      </c>
      <c r="I187" s="6">
        <v>4.7</v>
      </c>
      <c r="J187" s="6" t="b">
        <f t="shared" si="38"/>
        <v>0</v>
      </c>
      <c r="K187" s="6">
        <v>2.94</v>
      </c>
      <c r="L187" s="6" t="b">
        <f t="shared" si="39"/>
        <v>0</v>
      </c>
      <c r="M187" s="6">
        <v>286</v>
      </c>
      <c r="N187" s="6" t="b">
        <f t="shared" si="40"/>
        <v>0</v>
      </c>
      <c r="O187" s="6">
        <v>5</v>
      </c>
      <c r="P187" s="6" t="b">
        <f t="shared" si="41"/>
        <v>0</v>
      </c>
      <c r="Q187" s="6">
        <v>61</v>
      </c>
      <c r="R187" s="6" t="b">
        <f t="shared" si="42"/>
        <v>0</v>
      </c>
      <c r="S187" s="6">
        <v>11</v>
      </c>
      <c r="T187" s="6" t="b">
        <f t="shared" si="43"/>
        <v>0</v>
      </c>
      <c r="U187" s="6">
        <v>1.6999999999999999E-3</v>
      </c>
      <c r="V187" s="6" t="b">
        <f t="shared" si="44"/>
        <v>0</v>
      </c>
      <c r="W187" s="6">
        <v>101</v>
      </c>
      <c r="X187" s="6" t="b">
        <f t="shared" si="45"/>
        <v>0</v>
      </c>
      <c r="Y187" s="6">
        <v>55</v>
      </c>
      <c r="Z187" s="6" t="b">
        <f t="shared" si="46"/>
        <v>0</v>
      </c>
      <c r="AA187" s="6">
        <v>43.485999999999997</v>
      </c>
      <c r="AB187" s="6" t="b">
        <f t="shared" si="47"/>
        <v>0</v>
      </c>
      <c r="AC187" s="6">
        <v>30.359000000000002</v>
      </c>
      <c r="AD187" s="8" t="b">
        <f t="shared" si="48"/>
        <v>0</v>
      </c>
      <c r="AE187" s="8">
        <f t="shared" si="49"/>
        <v>13.126999999999995</v>
      </c>
      <c r="AF187" t="b">
        <f t="shared" si="50"/>
        <v>0</v>
      </c>
    </row>
    <row r="189" spans="1:33" x14ac:dyDescent="0.3">
      <c r="A189" s="5">
        <f>MIN(A3:A187)</f>
        <v>170</v>
      </c>
      <c r="B189" s="5"/>
      <c r="C189" s="5">
        <f t="shared" ref="C189:AC189" si="51">MIN(C3:C187)</f>
        <v>3</v>
      </c>
      <c r="D189" s="5"/>
      <c r="E189" s="5">
        <f t="shared" si="51"/>
        <v>0.8</v>
      </c>
      <c r="F189" s="5"/>
      <c r="G189" s="5">
        <f t="shared" si="51"/>
        <v>0</v>
      </c>
      <c r="H189" s="5"/>
      <c r="I189" s="5">
        <f t="shared" si="51"/>
        <v>0.2</v>
      </c>
      <c r="J189" s="5"/>
      <c r="K189" s="5">
        <f t="shared" si="51"/>
        <v>0.26</v>
      </c>
      <c r="L189" s="5"/>
      <c r="M189" s="5">
        <f t="shared" si="51"/>
        <v>0</v>
      </c>
      <c r="N189" s="5"/>
      <c r="O189" s="5">
        <f t="shared" si="51"/>
        <v>0</v>
      </c>
      <c r="P189" s="5"/>
      <c r="Q189" s="5">
        <f t="shared" si="51"/>
        <v>32</v>
      </c>
      <c r="R189" s="5"/>
      <c r="S189" s="5">
        <f t="shared" si="51"/>
        <v>9</v>
      </c>
      <c r="T189" s="5"/>
      <c r="U189" s="7">
        <f t="shared" si="51"/>
        <v>5.9999999999999995E-4</v>
      </c>
      <c r="V189" s="7"/>
      <c r="W189" s="5">
        <f t="shared" si="51"/>
        <v>0</v>
      </c>
      <c r="X189" s="5"/>
      <c r="Y189" s="5">
        <f t="shared" si="51"/>
        <v>0</v>
      </c>
      <c r="Z189" s="5"/>
      <c r="AA189" s="5">
        <f t="shared" si="51"/>
        <v>9.1969999999999992</v>
      </c>
      <c r="AB189" s="5"/>
      <c r="AC189" s="5">
        <f t="shared" si="51"/>
        <v>7.1999999999999995E-2</v>
      </c>
      <c r="AE189" s="5">
        <f>MIN(AE3:AE187)</f>
        <v>1.1890000000000001</v>
      </c>
      <c r="AG189" t="s">
        <v>40</v>
      </c>
    </row>
    <row r="190" spans="1:33" x14ac:dyDescent="0.3">
      <c r="A190" s="5">
        <f>MAX(A3:A187)</f>
        <v>750</v>
      </c>
      <c r="B190" s="5"/>
      <c r="C190" s="5">
        <f t="shared" ref="C190:AC190" si="52">MAX(C3:C187)</f>
        <v>11</v>
      </c>
      <c r="D190" s="5"/>
      <c r="E190" s="5">
        <f t="shared" si="52"/>
        <v>17</v>
      </c>
      <c r="F190" s="5"/>
      <c r="G190" s="5">
        <f t="shared" si="52"/>
        <v>461</v>
      </c>
      <c r="H190" s="5"/>
      <c r="I190" s="5">
        <f t="shared" si="52"/>
        <v>13.1</v>
      </c>
      <c r="J190" s="5"/>
      <c r="K190" s="5">
        <f t="shared" si="52"/>
        <v>2.94</v>
      </c>
      <c r="L190" s="5"/>
      <c r="M190" s="5">
        <f t="shared" si="52"/>
        <v>352</v>
      </c>
      <c r="N190" s="5"/>
      <c r="O190" s="5">
        <f t="shared" si="52"/>
        <v>101.8</v>
      </c>
      <c r="P190" s="5"/>
      <c r="Q190" s="5">
        <f t="shared" si="52"/>
        <v>253.2</v>
      </c>
      <c r="R190" s="5"/>
      <c r="S190" s="5">
        <f t="shared" si="52"/>
        <v>69</v>
      </c>
      <c r="T190" s="5"/>
      <c r="U190" s="7">
        <f t="shared" si="52"/>
        <v>8.9175999999999995E-3</v>
      </c>
      <c r="V190" s="7"/>
      <c r="W190" s="5">
        <f t="shared" si="52"/>
        <v>230</v>
      </c>
      <c r="X190" s="5"/>
      <c r="Y190" s="5">
        <f t="shared" si="52"/>
        <v>400</v>
      </c>
      <c r="Z190" s="5"/>
      <c r="AA190" s="5">
        <f t="shared" si="52"/>
        <v>298.54399999999998</v>
      </c>
      <c r="AB190" s="5"/>
      <c r="AC190" s="5">
        <f t="shared" si="52"/>
        <v>123.16</v>
      </c>
      <c r="AE190" s="5">
        <f>MAX(AE3:AE187)</f>
        <v>262.01499999999999</v>
      </c>
      <c r="AG190" t="s">
        <v>41</v>
      </c>
    </row>
    <row r="191" spans="1:33" x14ac:dyDescent="0.3">
      <c r="A191" s="5">
        <f>AVERAGE(A3:A187)</f>
        <v>477.04864864864862</v>
      </c>
      <c r="B191" s="5"/>
      <c r="C191" s="5">
        <f t="shared" ref="C191:AC191" si="53">AVERAGE(C3:C187)</f>
        <v>4.9513513513513514</v>
      </c>
      <c r="D191" s="5"/>
      <c r="E191" s="5">
        <f t="shared" si="53"/>
        <v>5.6659459459459462</v>
      </c>
      <c r="F191" s="5"/>
      <c r="G191" s="5">
        <f t="shared" si="53"/>
        <v>229.18378378378378</v>
      </c>
      <c r="H191" s="5"/>
      <c r="I191" s="5">
        <f t="shared" si="53"/>
        <v>2.6968648648648652</v>
      </c>
      <c r="J191" s="5"/>
      <c r="K191" s="5">
        <f t="shared" si="53"/>
        <v>2.0794162162162149</v>
      </c>
      <c r="L191" s="5"/>
      <c r="M191" s="5">
        <f t="shared" si="53"/>
        <v>195.65528648648649</v>
      </c>
      <c r="N191" s="5"/>
      <c r="O191" s="5">
        <f t="shared" si="53"/>
        <v>29.689729729729741</v>
      </c>
      <c r="P191" s="5"/>
      <c r="Q191" s="5">
        <f t="shared" si="53"/>
        <v>98.467789189189176</v>
      </c>
      <c r="R191" s="5"/>
      <c r="S191" s="5">
        <f t="shared" si="53"/>
        <v>24.053427027027027</v>
      </c>
      <c r="T191" s="5"/>
      <c r="U191" s="7">
        <f t="shared" si="53"/>
        <v>2.9039785198245525E-3</v>
      </c>
      <c r="V191" s="7"/>
      <c r="W191" s="5">
        <f t="shared" si="53"/>
        <v>79.459459459459453</v>
      </c>
      <c r="X191" s="5"/>
      <c r="Y191" s="5">
        <f t="shared" si="53"/>
        <v>149.72432432432433</v>
      </c>
      <c r="Z191" s="5"/>
      <c r="AA191" s="5">
        <f t="shared" si="53"/>
        <v>74.163383783783743</v>
      </c>
      <c r="AB191" s="5"/>
      <c r="AC191" s="5">
        <f t="shared" si="53"/>
        <v>35.123859459459467</v>
      </c>
      <c r="AE191" s="5">
        <f>AVERAGE(AE3:AE187)</f>
        <v>39.03952432432434</v>
      </c>
      <c r="AG191" t="s">
        <v>42</v>
      </c>
    </row>
    <row r="192" spans="1:33" x14ac:dyDescent="0.3">
      <c r="A192" s="5">
        <f>MEDIAN(A3:A187)</f>
        <v>480</v>
      </c>
      <c r="B192" s="5"/>
      <c r="C192" s="5">
        <f t="shared" ref="C192:AC192" si="54">MEDIAN(C3:C187)</f>
        <v>5</v>
      </c>
      <c r="D192" s="5"/>
      <c r="E192" s="5">
        <f t="shared" si="54"/>
        <v>5</v>
      </c>
      <c r="F192" s="5"/>
      <c r="G192" s="5">
        <f t="shared" si="54"/>
        <v>165</v>
      </c>
      <c r="H192" s="5"/>
      <c r="I192" s="5">
        <f t="shared" si="54"/>
        <v>2.2999999999999998</v>
      </c>
      <c r="J192" s="5"/>
      <c r="K192" s="5">
        <f t="shared" si="54"/>
        <v>2.94</v>
      </c>
      <c r="L192" s="5"/>
      <c r="M192" s="5">
        <f t="shared" si="54"/>
        <v>219</v>
      </c>
      <c r="N192" s="5"/>
      <c r="O192" s="5">
        <f t="shared" si="54"/>
        <v>10</v>
      </c>
      <c r="P192" s="5"/>
      <c r="Q192" s="5">
        <f t="shared" si="54"/>
        <v>86</v>
      </c>
      <c r="R192" s="5"/>
      <c r="S192" s="5">
        <f t="shared" si="54"/>
        <v>17</v>
      </c>
      <c r="T192" s="5"/>
      <c r="U192" s="5">
        <f t="shared" si="54"/>
        <v>2.7000000000000001E-3</v>
      </c>
      <c r="V192" s="5"/>
      <c r="W192" s="5">
        <f t="shared" si="54"/>
        <v>75</v>
      </c>
      <c r="X192" s="5"/>
      <c r="Y192" s="5">
        <f t="shared" si="54"/>
        <v>99</v>
      </c>
      <c r="Z192" s="5"/>
      <c r="AA192" s="5">
        <f t="shared" si="54"/>
        <v>65.114000000000004</v>
      </c>
      <c r="AB192" s="5"/>
      <c r="AC192" s="5">
        <f t="shared" si="54"/>
        <v>27.88</v>
      </c>
      <c r="AE192" s="5">
        <f t="shared" ref="AE192" si="55">MEDIAN(AE3:AE187)</f>
        <v>20.756</v>
      </c>
      <c r="AG192" t="s">
        <v>45</v>
      </c>
    </row>
    <row r="193" spans="1:33" x14ac:dyDescent="0.3">
      <c r="A193" s="2">
        <f>QUARTILE(A3:A187,1)</f>
        <v>300</v>
      </c>
      <c r="C193" s="2">
        <f t="shared" ref="C193:AC193" si="56">QUARTILE(C3:C187,1)</f>
        <v>3</v>
      </c>
      <c r="E193" s="2">
        <f t="shared" si="56"/>
        <v>3.4</v>
      </c>
      <c r="G193" s="2">
        <f t="shared" si="56"/>
        <v>155</v>
      </c>
      <c r="I193" s="2">
        <f t="shared" si="56"/>
        <v>1.3</v>
      </c>
      <c r="K193" s="2">
        <f t="shared" si="56"/>
        <v>0.78</v>
      </c>
      <c r="M193" s="2">
        <f t="shared" si="56"/>
        <v>123</v>
      </c>
      <c r="O193" s="2">
        <f t="shared" si="56"/>
        <v>6</v>
      </c>
      <c r="Q193" s="2">
        <f t="shared" si="56"/>
        <v>58</v>
      </c>
      <c r="S193" s="2">
        <f t="shared" si="56"/>
        <v>13</v>
      </c>
      <c r="U193" s="2">
        <f t="shared" si="56"/>
        <v>2.0236999999999998E-3</v>
      </c>
      <c r="W193" s="2">
        <f t="shared" si="56"/>
        <v>65</v>
      </c>
      <c r="Y193" s="2">
        <f t="shared" si="56"/>
        <v>64</v>
      </c>
      <c r="AA193" s="2">
        <f t="shared" si="56"/>
        <v>39.957000000000001</v>
      </c>
      <c r="AC193" s="2">
        <f t="shared" si="56"/>
        <v>15.417</v>
      </c>
      <c r="AE193" s="2">
        <f t="shared" ref="AE193" si="57">QUARTILE(AE3:AE187,1)</f>
        <v>8.3249999999999957</v>
      </c>
      <c r="AG193" t="s">
        <v>53</v>
      </c>
    </row>
    <row r="194" spans="1:33" x14ac:dyDescent="0.3">
      <c r="A194" s="2">
        <f>QUARTILE(A3:A187,3)</f>
        <v>680</v>
      </c>
      <c r="C194" s="2">
        <f t="shared" ref="C194:AC194" si="58">QUARTILE(C3:C187,3)</f>
        <v>5</v>
      </c>
      <c r="E194" s="2">
        <f t="shared" si="58"/>
        <v>7</v>
      </c>
      <c r="G194" s="2">
        <f t="shared" si="58"/>
        <v>330</v>
      </c>
      <c r="I194" s="2">
        <f t="shared" si="58"/>
        <v>4</v>
      </c>
      <c r="K194" s="2">
        <f t="shared" si="58"/>
        <v>2.94</v>
      </c>
      <c r="M194" s="2">
        <f t="shared" si="58"/>
        <v>286</v>
      </c>
      <c r="O194" s="2">
        <f t="shared" si="58"/>
        <v>50</v>
      </c>
      <c r="Q194" s="2">
        <f t="shared" si="58"/>
        <v>139.19999999999999</v>
      </c>
      <c r="S194" s="2">
        <f t="shared" si="58"/>
        <v>33.802999999999997</v>
      </c>
      <c r="U194" s="2">
        <f t="shared" si="58"/>
        <v>3.4846674631620863E-3</v>
      </c>
      <c r="W194" s="2">
        <f t="shared" si="58"/>
        <v>96</v>
      </c>
      <c r="Y194" s="2">
        <f t="shared" si="58"/>
        <v>250</v>
      </c>
      <c r="AA194" s="2">
        <f t="shared" si="58"/>
        <v>97.424999999999997</v>
      </c>
      <c r="AC194" s="2">
        <f t="shared" si="58"/>
        <v>49.850999999999999</v>
      </c>
      <c r="AE194" s="2">
        <f t="shared" ref="AE194" si="59">QUARTILE(AE3:AE187,3)</f>
        <v>52.654000000000003</v>
      </c>
      <c r="AG194" t="s">
        <v>54</v>
      </c>
    </row>
    <row r="195" spans="1:33" x14ac:dyDescent="0.3">
      <c r="A195" s="2">
        <f>A194-A193</f>
        <v>380</v>
      </c>
      <c r="C195" s="2">
        <f t="shared" ref="C195:AC195" si="60">C194-C193</f>
        <v>2</v>
      </c>
      <c r="E195" s="2">
        <f t="shared" si="60"/>
        <v>3.6</v>
      </c>
      <c r="G195" s="2">
        <f t="shared" si="60"/>
        <v>175</v>
      </c>
      <c r="I195" s="2">
        <f t="shared" si="60"/>
        <v>2.7</v>
      </c>
      <c r="K195" s="2">
        <f t="shared" si="60"/>
        <v>2.16</v>
      </c>
      <c r="M195" s="2">
        <f t="shared" si="60"/>
        <v>163</v>
      </c>
      <c r="O195" s="2">
        <f t="shared" si="60"/>
        <v>44</v>
      </c>
      <c r="Q195" s="2">
        <f t="shared" si="60"/>
        <v>81.199999999999989</v>
      </c>
      <c r="S195" s="2">
        <f t="shared" si="60"/>
        <v>20.802999999999997</v>
      </c>
      <c r="U195" s="2">
        <f t="shared" si="60"/>
        <v>1.4609674631620865E-3</v>
      </c>
      <c r="W195" s="2">
        <f t="shared" si="60"/>
        <v>31</v>
      </c>
      <c r="Y195" s="2">
        <f t="shared" si="60"/>
        <v>186</v>
      </c>
      <c r="AA195" s="2">
        <f t="shared" si="60"/>
        <v>57.467999999999996</v>
      </c>
      <c r="AC195" s="2">
        <f t="shared" si="60"/>
        <v>34.433999999999997</v>
      </c>
      <c r="AE195" s="2">
        <f t="shared" ref="AE195" si="61">AE194-AE193</f>
        <v>44.329000000000008</v>
      </c>
      <c r="AG195" t="s">
        <v>55</v>
      </c>
    </row>
    <row r="196" spans="1:33" x14ac:dyDescent="0.3">
      <c r="A196" s="2">
        <f>A194+(A195*1.5)</f>
        <v>1250</v>
      </c>
      <c r="C196" s="2">
        <f t="shared" ref="C196:AC196" si="62">C194+(C195*1.5)</f>
        <v>8</v>
      </c>
      <c r="E196" s="2">
        <f t="shared" si="62"/>
        <v>12.4</v>
      </c>
      <c r="G196" s="2">
        <f t="shared" si="62"/>
        <v>592.5</v>
      </c>
      <c r="I196" s="2">
        <f t="shared" si="62"/>
        <v>8.0500000000000007</v>
      </c>
      <c r="K196" s="2">
        <f t="shared" si="62"/>
        <v>6.18</v>
      </c>
      <c r="M196" s="2">
        <f t="shared" si="62"/>
        <v>530.5</v>
      </c>
      <c r="O196" s="2">
        <f t="shared" si="62"/>
        <v>116</v>
      </c>
      <c r="Q196" s="2">
        <f t="shared" si="62"/>
        <v>261</v>
      </c>
      <c r="S196" s="2">
        <f t="shared" si="62"/>
        <v>65.007499999999993</v>
      </c>
      <c r="U196" s="2">
        <f t="shared" si="62"/>
        <v>5.6761186579052155E-3</v>
      </c>
      <c r="W196" s="2">
        <f t="shared" si="62"/>
        <v>142.5</v>
      </c>
      <c r="Y196" s="2">
        <f t="shared" si="62"/>
        <v>529</v>
      </c>
      <c r="AA196" s="2">
        <f t="shared" si="62"/>
        <v>183.62700000000001</v>
      </c>
      <c r="AC196" s="2">
        <f t="shared" si="62"/>
        <v>101.502</v>
      </c>
      <c r="AE196" s="2">
        <f t="shared" ref="AE196" si="63">AE194+(AE195*1.5)</f>
        <v>119.14750000000001</v>
      </c>
      <c r="AG196" t="s">
        <v>56</v>
      </c>
    </row>
    <row r="197" spans="1:33" x14ac:dyDescent="0.3">
      <c r="A197" s="2">
        <f>A193-(A195*1.5)</f>
        <v>-270</v>
      </c>
      <c r="C197" s="2">
        <f t="shared" ref="C197:AC197" si="64">C193-C195*1.5</f>
        <v>0</v>
      </c>
      <c r="E197" s="2">
        <f t="shared" si="64"/>
        <v>-2.0000000000000004</v>
      </c>
      <c r="G197" s="2">
        <f t="shared" si="64"/>
        <v>-107.5</v>
      </c>
      <c r="I197" s="2">
        <f t="shared" si="64"/>
        <v>-2.7500000000000009</v>
      </c>
      <c r="K197" s="2">
        <f t="shared" si="64"/>
        <v>-2.46</v>
      </c>
      <c r="M197" s="2">
        <f t="shared" si="64"/>
        <v>-121.5</v>
      </c>
      <c r="O197" s="2">
        <f t="shared" si="64"/>
        <v>-60</v>
      </c>
      <c r="Q197" s="2">
        <f t="shared" si="64"/>
        <v>-63.799999999999983</v>
      </c>
      <c r="S197" s="2">
        <f t="shared" si="64"/>
        <v>-18.204499999999996</v>
      </c>
      <c r="U197" s="2">
        <f t="shared" si="64"/>
        <v>-1.6775119474312988E-4</v>
      </c>
      <c r="W197" s="2">
        <f t="shared" si="64"/>
        <v>18.5</v>
      </c>
      <c r="Y197" s="2">
        <f t="shared" si="64"/>
        <v>-215</v>
      </c>
      <c r="AA197" s="2">
        <f t="shared" si="64"/>
        <v>-46.244999999999997</v>
      </c>
      <c r="AC197" s="2">
        <f t="shared" si="64"/>
        <v>-36.233999999999995</v>
      </c>
      <c r="AE197" s="2">
        <f t="shared" ref="AE197" si="65">AE193-AE195*1.5</f>
        <v>-58.168500000000016</v>
      </c>
      <c r="AG197" t="s">
        <v>57</v>
      </c>
    </row>
  </sheetData>
  <mergeCells count="1">
    <mergeCell ref="AI1:AO1"/>
  </mergeCells>
  <conditionalFormatting sqref="A3:A187">
    <cfRule type="expression" dxfId="42" priority="16">
      <formula>$B3=TRUE</formula>
    </cfRule>
  </conditionalFormatting>
  <conditionalFormatting sqref="C3:C187">
    <cfRule type="expression" dxfId="41" priority="15">
      <formula>$D3=TRUE</formula>
    </cfRule>
  </conditionalFormatting>
  <conditionalFormatting sqref="E3:E187">
    <cfRule type="expression" dxfId="40" priority="14">
      <formula>$F3=TRUE</formula>
    </cfRule>
  </conditionalFormatting>
  <conditionalFormatting sqref="G3:G187">
    <cfRule type="expression" dxfId="39" priority="13">
      <formula>$H3=TRUE</formula>
    </cfRule>
  </conditionalFormatting>
  <conditionalFormatting sqref="I3:I187">
    <cfRule type="expression" dxfId="38" priority="12">
      <formula>$J3=TRUE</formula>
    </cfRule>
  </conditionalFormatting>
  <conditionalFormatting sqref="K3:K187">
    <cfRule type="expression" dxfId="37" priority="11">
      <formula>$L3=TRUE</formula>
    </cfRule>
  </conditionalFormatting>
  <conditionalFormatting sqref="M3:M187">
    <cfRule type="expression" dxfId="36" priority="10">
      <formula>$N3=TRUE</formula>
    </cfRule>
  </conditionalFormatting>
  <conditionalFormatting sqref="O3:O187">
    <cfRule type="expression" dxfId="35" priority="9">
      <formula>$P3=TRUE</formula>
    </cfRule>
  </conditionalFormatting>
  <conditionalFormatting sqref="Q3:Q187">
    <cfRule type="expression" dxfId="34" priority="8">
      <formula>$R3=TRUE</formula>
    </cfRule>
  </conditionalFormatting>
  <conditionalFormatting sqref="S3:S187">
    <cfRule type="expression" dxfId="33" priority="7">
      <formula>$T3=TRUE</formula>
    </cfRule>
  </conditionalFormatting>
  <conditionalFormatting sqref="U3:U187">
    <cfRule type="expression" dxfId="32" priority="6">
      <formula>$V3=TRUE</formula>
    </cfRule>
  </conditionalFormatting>
  <conditionalFormatting sqref="W3:W187">
    <cfRule type="expression" dxfId="31" priority="5">
      <formula>$X3=TRUE</formula>
    </cfRule>
  </conditionalFormatting>
  <conditionalFormatting sqref="Y3:Y187">
    <cfRule type="expression" dxfId="30" priority="4">
      <formula>$Z3=TRUE</formula>
    </cfRule>
  </conditionalFormatting>
  <conditionalFormatting sqref="AA3:AA187">
    <cfRule type="expression" dxfId="29" priority="3">
      <formula>$AB3=TRUE</formula>
    </cfRule>
  </conditionalFormatting>
  <conditionalFormatting sqref="AC3:AC187">
    <cfRule type="expression" dxfId="28" priority="2">
      <formula>$AD3=TRUE</formula>
    </cfRule>
  </conditionalFormatting>
  <conditionalFormatting sqref="AE3:AE187">
    <cfRule type="expression" dxfId="27" priority="1">
      <formula>$AF3=TRUE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96"/>
  <sheetViews>
    <sheetView tabSelected="1" workbookViewId="0">
      <selection activeCell="O1" sqref="O1"/>
    </sheetView>
  </sheetViews>
  <sheetFormatPr defaultRowHeight="14.4" x14ac:dyDescent="0.3"/>
  <cols>
    <col min="1" max="1" width="15.109375" style="6" bestFit="1" customWidth="1"/>
    <col min="2" max="2" width="14.5546875" style="6" bestFit="1" customWidth="1"/>
    <col min="3" max="3" width="15" style="6" bestFit="1" customWidth="1"/>
    <col min="4" max="4" width="14.5546875" style="6" bestFit="1" customWidth="1"/>
    <col min="5" max="5" width="10.44140625" style="6" bestFit="1" customWidth="1"/>
    <col min="6" max="6" width="9.88671875" style="6" bestFit="1" customWidth="1"/>
    <col min="7" max="7" width="13.6640625" style="6" customWidth="1"/>
    <col min="8" max="9" width="11.33203125" style="6" bestFit="1" customWidth="1"/>
    <col min="10" max="10" width="8.6640625" style="6" bestFit="1" customWidth="1"/>
    <col min="11" max="11" width="12.6640625" style="6" bestFit="1" customWidth="1"/>
    <col min="12" max="12" width="10.5546875" style="6" bestFit="1" customWidth="1"/>
    <col min="13" max="13" width="12.6640625" style="6" bestFit="1" customWidth="1"/>
    <col min="14" max="14" width="10.88671875" style="6" bestFit="1" customWidth="1"/>
    <col min="15" max="15" width="14" style="6" bestFit="1" customWidth="1"/>
    <col min="16" max="16" width="9" style="8" bestFit="1" customWidth="1"/>
    <col min="18" max="18" width="10.109375" style="2" bestFit="1" customWidth="1"/>
    <col min="20" max="20" width="8.5546875" style="2" bestFit="1" customWidth="1"/>
    <col min="22" max="22" width="8.5546875" style="2" bestFit="1" customWidth="1"/>
    <col min="24" max="24" width="8.5546875" style="2" bestFit="1" customWidth="1"/>
    <col min="26" max="26" width="10.5546875" style="2" bestFit="1" customWidth="1"/>
    <col min="28" max="28" width="8.5546875" style="2" bestFit="1" customWidth="1"/>
    <col min="30" max="30" width="8.5546875" bestFit="1" customWidth="1"/>
  </cols>
  <sheetData>
    <row r="1" spans="1:30" ht="86.4" x14ac:dyDescent="0.3">
      <c r="A1" s="3" t="s">
        <v>11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17</v>
      </c>
      <c r="O1" s="3" t="s">
        <v>16</v>
      </c>
      <c r="P1" s="3" t="s">
        <v>81</v>
      </c>
      <c r="R1" s="3"/>
      <c r="T1" s="3"/>
      <c r="V1" s="3"/>
      <c r="X1" s="3"/>
      <c r="Z1" s="3"/>
      <c r="AB1" s="3"/>
      <c r="AD1" s="3"/>
    </row>
    <row r="2" spans="1:30" x14ac:dyDescent="0.3">
      <c r="A2" s="6">
        <v>720</v>
      </c>
      <c r="B2" s="6">
        <v>5</v>
      </c>
      <c r="C2" s="6">
        <v>2</v>
      </c>
      <c r="D2" s="6">
        <v>350</v>
      </c>
      <c r="E2" s="6">
        <v>1.75</v>
      </c>
      <c r="F2" s="6">
        <v>0.83899999999999997</v>
      </c>
      <c r="G2" s="6">
        <v>134.59</v>
      </c>
      <c r="H2" s="6">
        <v>69.7</v>
      </c>
      <c r="I2" s="6">
        <v>186.6</v>
      </c>
      <c r="J2" s="6">
        <v>36.5</v>
      </c>
      <c r="K2" s="6">
        <v>3.8999999999999998E-3</v>
      </c>
      <c r="L2" s="6">
        <v>65</v>
      </c>
      <c r="M2" s="6">
        <v>285</v>
      </c>
      <c r="N2" s="6">
        <v>55.158999999999999</v>
      </c>
      <c r="O2" s="6">
        <v>51.655000000000001</v>
      </c>
      <c r="P2" s="8">
        <f t="shared" ref="P2:P33" si="0">N2-O2</f>
        <v>3.5039999999999978</v>
      </c>
      <c r="R2" s="6"/>
      <c r="T2" s="6"/>
      <c r="V2" s="6"/>
      <c r="X2" s="6"/>
      <c r="Z2" s="6"/>
      <c r="AB2" s="6"/>
      <c r="AD2" s="8"/>
    </row>
    <row r="3" spans="1:30" x14ac:dyDescent="0.3">
      <c r="A3" s="6">
        <v>700</v>
      </c>
      <c r="B3" s="6">
        <v>5</v>
      </c>
      <c r="C3" s="6">
        <v>4</v>
      </c>
      <c r="D3" s="6">
        <v>360</v>
      </c>
      <c r="E3" s="6">
        <v>0.6</v>
      </c>
      <c r="F3" s="6">
        <v>0.73</v>
      </c>
      <c r="G3" s="6">
        <v>229.38</v>
      </c>
      <c r="H3" s="6">
        <v>60.8</v>
      </c>
      <c r="I3" s="6">
        <v>121.7</v>
      </c>
      <c r="J3" s="6">
        <v>38.24</v>
      </c>
      <c r="K3" s="6">
        <v>4.0899999999999999E-3</v>
      </c>
      <c r="L3" s="6">
        <v>0</v>
      </c>
      <c r="M3" s="6">
        <v>360</v>
      </c>
      <c r="N3" s="6">
        <v>131.84899999999999</v>
      </c>
      <c r="O3" s="6">
        <v>94.090999999999994</v>
      </c>
      <c r="P3" s="8">
        <f t="shared" si="0"/>
        <v>37.757999999999996</v>
      </c>
      <c r="R3" s="6"/>
      <c r="T3" s="6"/>
      <c r="V3" s="6"/>
      <c r="X3" s="6"/>
      <c r="Z3" s="6"/>
      <c r="AB3" s="6"/>
      <c r="AD3" s="8"/>
    </row>
    <row r="4" spans="1:30" x14ac:dyDescent="0.3">
      <c r="A4" s="6">
        <v>660</v>
      </c>
      <c r="B4" s="6">
        <v>5</v>
      </c>
      <c r="C4" s="6">
        <v>1.4</v>
      </c>
      <c r="D4" s="6">
        <v>345</v>
      </c>
      <c r="E4" s="6">
        <v>1.8</v>
      </c>
      <c r="F4" s="6">
        <v>0.73</v>
      </c>
      <c r="G4" s="6">
        <v>329.33</v>
      </c>
      <c r="H4" s="6">
        <v>50</v>
      </c>
      <c r="I4" s="6">
        <v>142</v>
      </c>
      <c r="J4" s="6">
        <v>29</v>
      </c>
      <c r="K4" s="6">
        <v>5.0000000000000001E-3</v>
      </c>
      <c r="L4" s="6">
        <v>65</v>
      </c>
      <c r="M4" s="6">
        <v>280</v>
      </c>
      <c r="N4" s="6">
        <v>39.957000000000001</v>
      </c>
      <c r="O4" s="6">
        <v>24.562999999999999</v>
      </c>
      <c r="P4" s="8">
        <f t="shared" si="0"/>
        <v>15.394000000000002</v>
      </c>
      <c r="R4" s="6"/>
      <c r="T4" s="6"/>
      <c r="V4" s="6"/>
      <c r="X4" s="6"/>
      <c r="Z4" s="6"/>
      <c r="AB4" s="6"/>
      <c r="AD4" s="8"/>
    </row>
    <row r="5" spans="1:30" x14ac:dyDescent="0.3">
      <c r="A5" s="6">
        <v>650</v>
      </c>
      <c r="B5" s="6">
        <v>5</v>
      </c>
      <c r="C5" s="6">
        <v>1.9</v>
      </c>
      <c r="D5" s="6">
        <v>335</v>
      </c>
      <c r="E5" s="6">
        <v>2</v>
      </c>
      <c r="F5" s="6">
        <v>0.7</v>
      </c>
      <c r="G5" s="6">
        <v>307.7</v>
      </c>
      <c r="H5" s="6">
        <v>50</v>
      </c>
      <c r="I5" s="6">
        <v>133.36000000000001</v>
      </c>
      <c r="J5" s="6">
        <v>40.338999999999999</v>
      </c>
      <c r="K5" s="6">
        <v>2.6760999999999998E-3</v>
      </c>
      <c r="L5" s="6">
        <v>65</v>
      </c>
      <c r="M5" s="6">
        <v>270</v>
      </c>
      <c r="N5" s="6">
        <v>52.427999999999997</v>
      </c>
      <c r="O5" s="6">
        <v>44.103000000000002</v>
      </c>
      <c r="P5" s="8">
        <f t="shared" si="0"/>
        <v>8.3249999999999957</v>
      </c>
      <c r="R5" s="6"/>
      <c r="T5" s="6"/>
      <c r="V5" s="6"/>
      <c r="X5" s="6"/>
      <c r="Z5" s="6"/>
      <c r="AB5" s="6"/>
      <c r="AD5" s="8"/>
    </row>
    <row r="6" spans="1:30" x14ac:dyDescent="0.3">
      <c r="A6" s="6">
        <v>675</v>
      </c>
      <c r="B6" s="6">
        <v>5</v>
      </c>
      <c r="C6" s="6">
        <v>1.5</v>
      </c>
      <c r="D6" s="6">
        <v>325</v>
      </c>
      <c r="E6" s="6">
        <v>1.5</v>
      </c>
      <c r="F6" s="6">
        <v>0.73</v>
      </c>
      <c r="G6" s="6">
        <v>154.51</v>
      </c>
      <c r="H6" s="6">
        <v>50</v>
      </c>
      <c r="I6" s="6">
        <v>161.1</v>
      </c>
      <c r="J6" s="6">
        <v>38.764000000000003</v>
      </c>
      <c r="K6" s="6">
        <v>3.3999999999999998E-3</v>
      </c>
      <c r="L6" s="6">
        <v>65</v>
      </c>
      <c r="M6" s="6">
        <v>260</v>
      </c>
      <c r="N6" s="6">
        <v>57.533000000000001</v>
      </c>
      <c r="O6" s="6">
        <v>44.581000000000003</v>
      </c>
      <c r="P6" s="8">
        <f t="shared" si="0"/>
        <v>12.951999999999998</v>
      </c>
      <c r="R6" s="6"/>
      <c r="T6" s="6"/>
      <c r="V6" s="6"/>
      <c r="X6" s="6"/>
      <c r="Z6" s="6"/>
      <c r="AB6" s="6"/>
      <c r="AD6" s="8"/>
    </row>
    <row r="7" spans="1:30" x14ac:dyDescent="0.3">
      <c r="A7" s="6">
        <v>680</v>
      </c>
      <c r="B7" s="6">
        <v>5</v>
      </c>
      <c r="C7" s="6">
        <v>1.5</v>
      </c>
      <c r="D7" s="6">
        <v>280</v>
      </c>
      <c r="E7" s="6">
        <v>1.8</v>
      </c>
      <c r="F7" s="6">
        <v>0.73</v>
      </c>
      <c r="G7" s="6">
        <v>56.85</v>
      </c>
      <c r="H7" s="6">
        <v>50</v>
      </c>
      <c r="I7" s="6">
        <v>171.07</v>
      </c>
      <c r="J7" s="6">
        <v>28.678000000000001</v>
      </c>
      <c r="K7" s="6">
        <v>3.2152999999999999E-3</v>
      </c>
      <c r="L7" s="6">
        <v>65</v>
      </c>
      <c r="M7" s="6">
        <v>215</v>
      </c>
      <c r="N7" s="6">
        <v>64.39</v>
      </c>
      <c r="O7" s="6">
        <v>49.850999999999999</v>
      </c>
      <c r="P7" s="8">
        <f t="shared" si="0"/>
        <v>14.539000000000001</v>
      </c>
      <c r="R7" s="6"/>
      <c r="T7" s="6"/>
      <c r="V7" s="6"/>
      <c r="X7" s="6"/>
      <c r="Z7" s="6"/>
      <c r="AB7" s="6"/>
      <c r="AD7" s="8"/>
    </row>
    <row r="8" spans="1:30" x14ac:dyDescent="0.3">
      <c r="A8" s="6">
        <v>670</v>
      </c>
      <c r="B8" s="6">
        <v>5</v>
      </c>
      <c r="C8" s="6">
        <v>2.2000000000000002</v>
      </c>
      <c r="D8" s="6">
        <v>323</v>
      </c>
      <c r="E8" s="6">
        <v>1.8</v>
      </c>
      <c r="F8" s="6">
        <v>0.73</v>
      </c>
      <c r="G8" s="6">
        <v>312.54000000000002</v>
      </c>
      <c r="H8" s="6">
        <v>50</v>
      </c>
      <c r="I8" s="6">
        <v>119.57</v>
      </c>
      <c r="J8" s="6">
        <v>33.802999999999997</v>
      </c>
      <c r="K8" s="6">
        <v>4.3206E-3</v>
      </c>
      <c r="L8" s="6">
        <v>65</v>
      </c>
      <c r="M8" s="6">
        <v>258</v>
      </c>
      <c r="N8" s="6">
        <v>44.063000000000002</v>
      </c>
      <c r="O8" s="6">
        <v>25.088999999999999</v>
      </c>
      <c r="P8" s="8">
        <f t="shared" si="0"/>
        <v>18.974000000000004</v>
      </c>
      <c r="R8" s="6"/>
      <c r="T8" s="6"/>
      <c r="V8" s="6"/>
      <c r="X8" s="6"/>
      <c r="Z8" s="6"/>
      <c r="AB8" s="6"/>
      <c r="AD8" s="8"/>
    </row>
    <row r="9" spans="1:30" x14ac:dyDescent="0.3">
      <c r="A9" s="6">
        <v>300</v>
      </c>
      <c r="B9" s="6">
        <v>3</v>
      </c>
      <c r="C9" s="6">
        <v>2.4</v>
      </c>
      <c r="D9" s="6">
        <v>360</v>
      </c>
      <c r="E9" s="6">
        <v>1.4</v>
      </c>
      <c r="F9" s="6">
        <v>0.73</v>
      </c>
      <c r="G9" s="6">
        <v>64.94</v>
      </c>
      <c r="H9" s="6">
        <v>51</v>
      </c>
      <c r="I9" s="6">
        <v>127.07</v>
      </c>
      <c r="J9" s="6">
        <v>37.764000000000003</v>
      </c>
      <c r="K9" s="6">
        <v>3.1829000000000002E-3</v>
      </c>
      <c r="L9" s="6">
        <v>110</v>
      </c>
      <c r="M9" s="6">
        <v>250</v>
      </c>
      <c r="N9" s="6">
        <v>27.548999999999999</v>
      </c>
      <c r="O9" s="6">
        <v>24.584</v>
      </c>
      <c r="P9" s="8">
        <f t="shared" si="0"/>
        <v>2.9649999999999999</v>
      </c>
      <c r="R9" s="6"/>
      <c r="T9" s="6"/>
      <c r="V9" s="6"/>
      <c r="X9" s="6"/>
      <c r="Z9" s="6"/>
      <c r="AB9" s="6"/>
      <c r="AD9" s="8"/>
    </row>
    <row r="10" spans="1:30" x14ac:dyDescent="0.3">
      <c r="A10" s="6">
        <v>250</v>
      </c>
      <c r="B10" s="6">
        <v>3</v>
      </c>
      <c r="C10" s="6">
        <v>2.4</v>
      </c>
      <c r="D10" s="6">
        <v>315</v>
      </c>
      <c r="E10" s="6">
        <v>1.5</v>
      </c>
      <c r="F10" s="6">
        <v>0.73</v>
      </c>
      <c r="G10" s="6">
        <v>170</v>
      </c>
      <c r="H10" s="6">
        <v>50</v>
      </c>
      <c r="I10" s="6">
        <v>149.91</v>
      </c>
      <c r="J10" s="6">
        <v>39.582000000000001</v>
      </c>
      <c r="K10" s="6">
        <v>2.7633000000000002E-3</v>
      </c>
      <c r="L10" s="6">
        <v>100</v>
      </c>
      <c r="M10" s="6">
        <v>215</v>
      </c>
      <c r="N10" s="6">
        <v>29.661000000000001</v>
      </c>
      <c r="O10" s="6">
        <v>18.629000000000001</v>
      </c>
      <c r="P10" s="8">
        <f t="shared" si="0"/>
        <v>11.032</v>
      </c>
      <c r="R10" s="6"/>
      <c r="T10" s="6"/>
      <c r="V10" s="6"/>
      <c r="X10" s="6"/>
      <c r="Z10" s="6"/>
      <c r="AB10" s="6"/>
      <c r="AD10" s="8"/>
    </row>
    <row r="11" spans="1:30" x14ac:dyDescent="0.3">
      <c r="A11" s="6">
        <v>715</v>
      </c>
      <c r="B11" s="6">
        <v>5</v>
      </c>
      <c r="C11" s="6">
        <v>2.2000000000000002</v>
      </c>
      <c r="D11" s="6">
        <v>345</v>
      </c>
      <c r="E11" s="6">
        <v>1.8</v>
      </c>
      <c r="F11" s="6">
        <v>0.73</v>
      </c>
      <c r="G11" s="6">
        <v>343.8</v>
      </c>
      <c r="H11" s="6">
        <v>50</v>
      </c>
      <c r="I11" s="6">
        <v>89.617000000000004</v>
      </c>
      <c r="J11" s="6">
        <v>47.92</v>
      </c>
      <c r="K11" s="6">
        <v>4.4275E-3</v>
      </c>
      <c r="L11" s="6">
        <v>65</v>
      </c>
      <c r="M11" s="6">
        <v>280</v>
      </c>
      <c r="N11" s="6">
        <v>66.453000000000003</v>
      </c>
      <c r="O11" s="6">
        <v>48.682000000000002</v>
      </c>
      <c r="P11" s="8">
        <f t="shared" si="0"/>
        <v>17.771000000000001</v>
      </c>
      <c r="R11" s="6"/>
      <c r="T11" s="6"/>
      <c r="V11" s="6"/>
      <c r="X11" s="6"/>
      <c r="Z11" s="6"/>
      <c r="AB11" s="6"/>
      <c r="AD11" s="8"/>
    </row>
    <row r="12" spans="1:30" x14ac:dyDescent="0.3">
      <c r="A12" s="6">
        <v>700</v>
      </c>
      <c r="B12" s="6">
        <v>5</v>
      </c>
      <c r="C12" s="6">
        <v>3.7</v>
      </c>
      <c r="D12" s="6">
        <v>310</v>
      </c>
      <c r="E12" s="6">
        <v>1.8</v>
      </c>
      <c r="F12" s="6">
        <v>0.62</v>
      </c>
      <c r="G12" s="6">
        <v>344.29</v>
      </c>
      <c r="H12" s="6">
        <v>55.5</v>
      </c>
      <c r="I12" s="6">
        <v>103.2</v>
      </c>
      <c r="J12" s="6">
        <v>54.6</v>
      </c>
      <c r="K12" s="6">
        <v>3.3E-3</v>
      </c>
      <c r="L12" s="6">
        <v>100</v>
      </c>
      <c r="M12" s="6">
        <v>210</v>
      </c>
      <c r="N12" s="6">
        <v>36.253999999999998</v>
      </c>
      <c r="O12" s="6">
        <v>27.335999999999999</v>
      </c>
      <c r="P12" s="8">
        <f t="shared" si="0"/>
        <v>8.9179999999999993</v>
      </c>
      <c r="R12" s="6"/>
      <c r="T12" s="6"/>
      <c r="V12" s="6"/>
      <c r="X12" s="6"/>
      <c r="Z12" s="6"/>
      <c r="AB12" s="6"/>
      <c r="AD12" s="8"/>
    </row>
    <row r="13" spans="1:30" x14ac:dyDescent="0.3">
      <c r="A13" s="6">
        <v>640</v>
      </c>
      <c r="B13" s="6">
        <v>5</v>
      </c>
      <c r="C13" s="6">
        <v>1.5</v>
      </c>
      <c r="D13" s="6">
        <v>315</v>
      </c>
      <c r="E13" s="6">
        <v>1.8</v>
      </c>
      <c r="F13" s="6">
        <v>0.73</v>
      </c>
      <c r="G13" s="6">
        <v>135.72</v>
      </c>
      <c r="H13" s="6">
        <v>50</v>
      </c>
      <c r="I13" s="6">
        <v>153.08000000000001</v>
      </c>
      <c r="J13" s="6">
        <v>33.192999999999998</v>
      </c>
      <c r="K13" s="6">
        <v>3.4043999999999997E-3</v>
      </c>
      <c r="L13" s="6">
        <v>65</v>
      </c>
      <c r="M13" s="6">
        <v>250</v>
      </c>
      <c r="N13" s="6">
        <v>69.412999999999997</v>
      </c>
      <c r="O13" s="6">
        <v>51.42</v>
      </c>
      <c r="P13" s="8">
        <f t="shared" si="0"/>
        <v>17.992999999999995</v>
      </c>
      <c r="R13" s="6"/>
      <c r="T13" s="6"/>
      <c r="V13" s="6"/>
      <c r="X13" s="6"/>
      <c r="Z13" s="6"/>
      <c r="AB13" s="6"/>
      <c r="AD13" s="8"/>
    </row>
    <row r="14" spans="1:30" x14ac:dyDescent="0.3">
      <c r="A14" s="6">
        <v>750</v>
      </c>
      <c r="B14" s="6">
        <v>5</v>
      </c>
      <c r="C14" s="6">
        <v>1</v>
      </c>
      <c r="D14" s="6">
        <v>315</v>
      </c>
      <c r="E14" s="6">
        <v>2.7</v>
      </c>
      <c r="F14" s="6">
        <v>0.73</v>
      </c>
      <c r="G14" s="6">
        <v>257.2</v>
      </c>
      <c r="H14" s="6">
        <v>50</v>
      </c>
      <c r="I14" s="6">
        <v>142.43</v>
      </c>
      <c r="J14" s="6">
        <v>30.123999999999999</v>
      </c>
      <c r="K14" s="6">
        <v>4.5926999999999999E-3</v>
      </c>
      <c r="L14" s="6">
        <v>65</v>
      </c>
      <c r="M14" s="6">
        <v>250</v>
      </c>
      <c r="N14" s="6">
        <v>52.228000000000002</v>
      </c>
      <c r="O14" s="6">
        <v>30.466999999999999</v>
      </c>
      <c r="P14" s="8">
        <f t="shared" si="0"/>
        <v>21.761000000000003</v>
      </c>
      <c r="R14" s="6"/>
      <c r="T14" s="6"/>
      <c r="V14" s="6"/>
      <c r="X14" s="6"/>
      <c r="Z14" s="6"/>
      <c r="AB14" s="6"/>
      <c r="AD14" s="8"/>
    </row>
    <row r="15" spans="1:30" x14ac:dyDescent="0.3">
      <c r="A15" s="6">
        <v>375</v>
      </c>
      <c r="B15" s="6">
        <v>4</v>
      </c>
      <c r="C15" s="6">
        <v>2</v>
      </c>
      <c r="D15" s="6">
        <v>285</v>
      </c>
      <c r="E15" s="6">
        <v>1.8</v>
      </c>
      <c r="F15" s="6">
        <v>0.73</v>
      </c>
      <c r="G15" s="6">
        <v>242.6</v>
      </c>
      <c r="H15" s="6">
        <v>60.8</v>
      </c>
      <c r="I15" s="6">
        <v>132.1</v>
      </c>
      <c r="J15" s="6">
        <v>47.64</v>
      </c>
      <c r="K15" s="6">
        <v>3.13E-3</v>
      </c>
      <c r="L15" s="6">
        <v>60</v>
      </c>
      <c r="M15" s="6">
        <v>225</v>
      </c>
      <c r="N15" s="6">
        <v>92.622</v>
      </c>
      <c r="O15" s="6">
        <v>51.21</v>
      </c>
      <c r="P15" s="8">
        <f t="shared" si="0"/>
        <v>41.411999999999999</v>
      </c>
      <c r="R15" s="6"/>
      <c r="T15" s="6"/>
      <c r="V15" s="6"/>
      <c r="X15" s="6"/>
      <c r="Z15" s="6"/>
      <c r="AB15" s="6"/>
      <c r="AD15" s="8"/>
    </row>
    <row r="16" spans="1:30" x14ac:dyDescent="0.3">
      <c r="A16" s="6">
        <v>670</v>
      </c>
      <c r="B16" s="6">
        <v>5</v>
      </c>
      <c r="C16" s="6">
        <v>1.4</v>
      </c>
      <c r="D16" s="6">
        <v>320</v>
      </c>
      <c r="E16" s="6">
        <v>1.5</v>
      </c>
      <c r="F16" s="6">
        <v>0.73</v>
      </c>
      <c r="G16" s="6">
        <v>142.56</v>
      </c>
      <c r="H16" s="6">
        <v>50</v>
      </c>
      <c r="I16" s="6">
        <v>123.93</v>
      </c>
      <c r="J16" s="6">
        <v>42.43</v>
      </c>
      <c r="K16" s="6">
        <v>3.2503000000000002E-3</v>
      </c>
      <c r="L16" s="6">
        <v>65</v>
      </c>
      <c r="M16" s="6">
        <v>255</v>
      </c>
      <c r="N16" s="6">
        <v>41.735999999999997</v>
      </c>
      <c r="O16" s="6">
        <v>34.356999999999999</v>
      </c>
      <c r="P16" s="8">
        <f t="shared" si="0"/>
        <v>7.3789999999999978</v>
      </c>
      <c r="R16" s="6"/>
      <c r="T16" s="6"/>
      <c r="V16" s="6"/>
      <c r="X16" s="6"/>
      <c r="Z16" s="6"/>
      <c r="AB16" s="6"/>
      <c r="AD16" s="8"/>
    </row>
    <row r="17" spans="1:30" x14ac:dyDescent="0.3">
      <c r="A17" s="6">
        <v>470</v>
      </c>
      <c r="B17" s="6">
        <v>5</v>
      </c>
      <c r="C17" s="6">
        <v>3.2</v>
      </c>
      <c r="D17" s="6">
        <v>320</v>
      </c>
      <c r="E17" s="6">
        <v>1.5</v>
      </c>
      <c r="F17" s="6">
        <v>0.78</v>
      </c>
      <c r="G17" s="6">
        <v>132.21</v>
      </c>
      <c r="H17" s="6">
        <v>50</v>
      </c>
      <c r="I17" s="6">
        <v>125.3</v>
      </c>
      <c r="J17" s="6">
        <v>37.700000000000003</v>
      </c>
      <c r="K17" s="6">
        <v>3.4306000000000002E-3</v>
      </c>
      <c r="L17" s="6">
        <v>65</v>
      </c>
      <c r="M17" s="6">
        <v>255</v>
      </c>
      <c r="N17" s="6">
        <v>62.072000000000003</v>
      </c>
      <c r="O17" s="6">
        <v>56.356999999999999</v>
      </c>
      <c r="P17" s="8">
        <f t="shared" si="0"/>
        <v>5.7150000000000034</v>
      </c>
      <c r="R17" s="6"/>
      <c r="T17" s="6"/>
      <c r="V17" s="6"/>
      <c r="X17" s="6"/>
      <c r="Z17" s="6"/>
      <c r="AB17" s="6"/>
      <c r="AD17" s="8"/>
    </row>
    <row r="18" spans="1:30" x14ac:dyDescent="0.3">
      <c r="A18" s="6">
        <v>690</v>
      </c>
      <c r="B18" s="6">
        <v>5</v>
      </c>
      <c r="C18" s="6">
        <v>4</v>
      </c>
      <c r="D18" s="6">
        <v>320</v>
      </c>
      <c r="E18" s="6">
        <v>1.5</v>
      </c>
      <c r="F18" s="6">
        <v>0.83899999999999997</v>
      </c>
      <c r="G18" s="6">
        <v>342.43</v>
      </c>
      <c r="H18" s="6">
        <v>50</v>
      </c>
      <c r="I18" s="6">
        <v>172.49</v>
      </c>
      <c r="J18" s="6">
        <v>33.149000000000001</v>
      </c>
      <c r="K18" s="6">
        <v>3.1316999999999998E-3</v>
      </c>
      <c r="L18" s="6">
        <v>65</v>
      </c>
      <c r="M18" s="6">
        <v>255</v>
      </c>
      <c r="N18" s="6">
        <v>52.201999999999998</v>
      </c>
      <c r="O18" s="6">
        <v>46.783999999999999</v>
      </c>
      <c r="P18" s="8">
        <f t="shared" si="0"/>
        <v>5.4179999999999993</v>
      </c>
      <c r="R18" s="6"/>
      <c r="T18" s="6"/>
      <c r="V18" s="6"/>
      <c r="X18" s="6"/>
      <c r="Z18" s="6"/>
      <c r="AB18" s="6"/>
      <c r="AD18" s="8"/>
    </row>
    <row r="19" spans="1:30" x14ac:dyDescent="0.3">
      <c r="A19" s="6">
        <v>380</v>
      </c>
      <c r="B19" s="6">
        <v>3</v>
      </c>
      <c r="C19" s="6">
        <v>2.6</v>
      </c>
      <c r="D19" s="6">
        <v>260</v>
      </c>
      <c r="E19" s="6">
        <v>0.8</v>
      </c>
      <c r="F19" s="6">
        <v>0.73</v>
      </c>
      <c r="G19" s="6">
        <v>189.94</v>
      </c>
      <c r="H19" s="6">
        <v>101.8</v>
      </c>
      <c r="I19" s="6">
        <v>253.2</v>
      </c>
      <c r="J19" s="6">
        <v>33.5</v>
      </c>
      <c r="K19" s="6">
        <v>5.0000000000000001E-3</v>
      </c>
      <c r="L19" s="6">
        <v>120</v>
      </c>
      <c r="M19" s="6">
        <v>140</v>
      </c>
      <c r="N19" s="6">
        <v>63.645000000000003</v>
      </c>
      <c r="O19" s="6">
        <v>57.793999999999997</v>
      </c>
      <c r="P19" s="8">
        <f t="shared" si="0"/>
        <v>5.8510000000000062</v>
      </c>
      <c r="R19" s="6"/>
      <c r="T19" s="6"/>
      <c r="V19" s="6"/>
      <c r="X19" s="6"/>
      <c r="Z19" s="6"/>
      <c r="AB19" s="6"/>
      <c r="AD19" s="8"/>
    </row>
    <row r="20" spans="1:30" x14ac:dyDescent="0.3">
      <c r="A20" s="6">
        <v>700</v>
      </c>
      <c r="B20" s="6">
        <v>5</v>
      </c>
      <c r="C20" s="6">
        <v>3</v>
      </c>
      <c r="D20" s="6">
        <v>312</v>
      </c>
      <c r="E20" s="6">
        <v>2</v>
      </c>
      <c r="F20" s="6">
        <v>0.73</v>
      </c>
      <c r="G20" s="6">
        <v>142.5</v>
      </c>
      <c r="H20" s="6">
        <v>50</v>
      </c>
      <c r="I20" s="6">
        <v>168.58</v>
      </c>
      <c r="J20" s="6">
        <v>32.664000000000001</v>
      </c>
      <c r="K20" s="6">
        <v>3.2743000000000004E-3</v>
      </c>
      <c r="L20" s="6">
        <v>65</v>
      </c>
      <c r="M20" s="6">
        <v>247</v>
      </c>
      <c r="N20" s="6">
        <v>91.807000000000002</v>
      </c>
      <c r="O20" s="6">
        <v>68.287999999999997</v>
      </c>
      <c r="P20" s="8">
        <f t="shared" si="0"/>
        <v>23.519000000000005</v>
      </c>
      <c r="R20" s="6"/>
      <c r="T20" s="6"/>
      <c r="V20" s="6"/>
      <c r="X20" s="6"/>
      <c r="Z20" s="6"/>
      <c r="AB20" s="6"/>
      <c r="AD20" s="8"/>
    </row>
    <row r="21" spans="1:30" x14ac:dyDescent="0.3">
      <c r="A21" s="6">
        <v>690</v>
      </c>
      <c r="B21" s="6">
        <v>6</v>
      </c>
      <c r="C21" s="6">
        <v>2.2999999999999998</v>
      </c>
      <c r="D21" s="6">
        <v>310</v>
      </c>
      <c r="E21" s="6">
        <v>1.7</v>
      </c>
      <c r="F21" s="6">
        <v>0.73</v>
      </c>
      <c r="G21" s="6">
        <v>337.9</v>
      </c>
      <c r="H21" s="6">
        <v>59.7</v>
      </c>
      <c r="I21" s="6">
        <v>173.5</v>
      </c>
      <c r="J21" s="6">
        <v>30</v>
      </c>
      <c r="K21" s="6">
        <v>4.3E-3</v>
      </c>
      <c r="L21" s="6">
        <v>150</v>
      </c>
      <c r="M21" s="6">
        <v>160</v>
      </c>
      <c r="N21" s="6">
        <v>46.978000000000002</v>
      </c>
      <c r="O21" s="6">
        <v>7.8159999999999998</v>
      </c>
      <c r="P21" s="8">
        <f t="shared" si="0"/>
        <v>39.161999999999999</v>
      </c>
      <c r="R21" s="6"/>
      <c r="T21" s="6"/>
      <c r="V21" s="6"/>
      <c r="X21" s="6"/>
      <c r="Z21" s="6"/>
      <c r="AB21" s="6"/>
      <c r="AD21" s="8"/>
    </row>
    <row r="22" spans="1:30" x14ac:dyDescent="0.3">
      <c r="A22" s="6">
        <v>669</v>
      </c>
      <c r="B22" s="6">
        <v>5</v>
      </c>
      <c r="C22" s="6">
        <v>4</v>
      </c>
      <c r="D22" s="6">
        <v>345</v>
      </c>
      <c r="E22" s="6">
        <v>2.6</v>
      </c>
      <c r="F22" s="6">
        <v>0.7</v>
      </c>
      <c r="G22" s="6">
        <v>228.26</v>
      </c>
      <c r="H22" s="6">
        <v>50</v>
      </c>
      <c r="I22" s="6">
        <v>144.04</v>
      </c>
      <c r="J22" s="6">
        <v>34.904000000000003</v>
      </c>
      <c r="K22" s="6">
        <v>2.8883999999999997E-3</v>
      </c>
      <c r="L22" s="6">
        <v>65</v>
      </c>
      <c r="M22" s="6">
        <v>280</v>
      </c>
      <c r="N22" s="6">
        <v>82.096000000000004</v>
      </c>
      <c r="O22" s="6">
        <v>76.936000000000007</v>
      </c>
      <c r="P22" s="8">
        <f t="shared" si="0"/>
        <v>5.1599999999999966</v>
      </c>
      <c r="R22" s="6"/>
      <c r="T22" s="6"/>
      <c r="V22" s="6"/>
      <c r="X22" s="6"/>
      <c r="Z22" s="6"/>
      <c r="AB22" s="6"/>
      <c r="AD22" s="8"/>
    </row>
    <row r="23" spans="1:30" x14ac:dyDescent="0.3">
      <c r="A23" s="6">
        <v>705</v>
      </c>
      <c r="B23" s="6">
        <v>5</v>
      </c>
      <c r="C23" s="6">
        <v>3.2</v>
      </c>
      <c r="D23" s="6">
        <v>325</v>
      </c>
      <c r="E23" s="6">
        <v>1.5</v>
      </c>
      <c r="F23" s="6">
        <v>0.73</v>
      </c>
      <c r="G23" s="6">
        <v>136.16999999999999</v>
      </c>
      <c r="H23" s="6">
        <v>50</v>
      </c>
      <c r="I23" s="6">
        <v>156.27000000000001</v>
      </c>
      <c r="J23" s="6">
        <v>27.914000000000001</v>
      </c>
      <c r="K23" s="6">
        <v>2.9159000000000003E-3</v>
      </c>
      <c r="L23" s="6">
        <v>65</v>
      </c>
      <c r="M23" s="6">
        <v>260</v>
      </c>
      <c r="N23" s="6">
        <v>71.025000000000006</v>
      </c>
      <c r="O23" s="6">
        <v>67.147999999999996</v>
      </c>
      <c r="P23" s="8">
        <f t="shared" si="0"/>
        <v>3.8770000000000095</v>
      </c>
      <c r="R23" s="6"/>
      <c r="T23" s="6"/>
      <c r="V23" s="6"/>
      <c r="X23" s="6"/>
      <c r="Z23" s="6"/>
      <c r="AB23" s="6"/>
      <c r="AD23" s="8"/>
    </row>
    <row r="24" spans="1:30" x14ac:dyDescent="0.3">
      <c r="A24" s="6">
        <v>590</v>
      </c>
      <c r="B24" s="6">
        <v>5</v>
      </c>
      <c r="C24" s="6">
        <v>2.5</v>
      </c>
      <c r="D24" s="6">
        <v>315</v>
      </c>
      <c r="E24" s="6">
        <v>2.4</v>
      </c>
      <c r="F24" s="6">
        <v>0.75</v>
      </c>
      <c r="G24" s="6">
        <v>337.74</v>
      </c>
      <c r="H24" s="6">
        <v>50</v>
      </c>
      <c r="I24" s="6">
        <v>128.93</v>
      </c>
      <c r="J24" s="6">
        <v>42.814</v>
      </c>
      <c r="K24" s="6">
        <v>3.1303999999999998E-3</v>
      </c>
      <c r="L24" s="6">
        <v>65</v>
      </c>
      <c r="M24" s="6">
        <v>250</v>
      </c>
      <c r="N24" s="6">
        <v>64.734999999999999</v>
      </c>
      <c r="O24" s="6">
        <v>52.213000000000001</v>
      </c>
      <c r="P24" s="8">
        <f t="shared" si="0"/>
        <v>12.521999999999998</v>
      </c>
      <c r="R24" s="6"/>
      <c r="T24" s="6"/>
      <c r="V24" s="6"/>
      <c r="X24" s="6"/>
      <c r="Z24" s="6"/>
      <c r="AB24" s="6"/>
      <c r="AD24" s="8"/>
    </row>
    <row r="25" spans="1:30" x14ac:dyDescent="0.3">
      <c r="A25" s="6">
        <v>640</v>
      </c>
      <c r="B25" s="6">
        <v>5</v>
      </c>
      <c r="C25" s="6">
        <v>2.5</v>
      </c>
      <c r="D25" s="6">
        <v>315</v>
      </c>
      <c r="E25" s="6">
        <v>1.8</v>
      </c>
      <c r="F25" s="6">
        <v>0.73</v>
      </c>
      <c r="G25" s="6">
        <v>343.56</v>
      </c>
      <c r="H25" s="6">
        <v>50</v>
      </c>
      <c r="I25" s="6">
        <v>144.69999999999999</v>
      </c>
      <c r="J25" s="6">
        <v>34.476999999999997</v>
      </c>
      <c r="K25" s="6">
        <v>3.3769E-3</v>
      </c>
      <c r="L25" s="6">
        <v>65</v>
      </c>
      <c r="M25" s="6">
        <v>250</v>
      </c>
      <c r="N25" s="6">
        <v>51.658000000000001</v>
      </c>
      <c r="O25" s="6">
        <v>25.971</v>
      </c>
      <c r="P25" s="8">
        <f t="shared" si="0"/>
        <v>25.687000000000001</v>
      </c>
      <c r="R25" s="6"/>
      <c r="T25" s="6"/>
      <c r="V25" s="6"/>
      <c r="X25" s="6"/>
      <c r="Z25" s="6"/>
      <c r="AB25" s="6"/>
      <c r="AD25" s="8"/>
    </row>
    <row r="26" spans="1:30" x14ac:dyDescent="0.3">
      <c r="A26" s="6">
        <v>690</v>
      </c>
      <c r="B26" s="6">
        <v>5</v>
      </c>
      <c r="C26" s="6">
        <v>2</v>
      </c>
      <c r="D26" s="6">
        <v>330</v>
      </c>
      <c r="E26" s="6">
        <v>1.5</v>
      </c>
      <c r="F26" s="6">
        <v>0.73</v>
      </c>
      <c r="G26" s="6">
        <v>343.45</v>
      </c>
      <c r="H26" s="6">
        <v>50</v>
      </c>
      <c r="I26" s="6">
        <v>145.82</v>
      </c>
      <c r="J26" s="6">
        <v>33.773000000000003</v>
      </c>
      <c r="K26" s="6">
        <v>3.6706E-3</v>
      </c>
      <c r="L26" s="6">
        <v>65</v>
      </c>
      <c r="M26" s="6">
        <v>265</v>
      </c>
      <c r="N26" s="6">
        <v>82.346000000000004</v>
      </c>
      <c r="O26" s="6">
        <v>63.28</v>
      </c>
      <c r="P26" s="8">
        <f t="shared" si="0"/>
        <v>19.066000000000003</v>
      </c>
      <c r="R26" s="6"/>
      <c r="T26" s="6"/>
      <c r="V26" s="6"/>
      <c r="X26" s="6"/>
      <c r="Z26" s="6"/>
      <c r="AB26" s="6"/>
      <c r="AD26" s="8"/>
    </row>
    <row r="27" spans="1:30" x14ac:dyDescent="0.3">
      <c r="A27" s="6">
        <v>655</v>
      </c>
      <c r="B27" s="6">
        <v>5</v>
      </c>
      <c r="C27" s="6">
        <v>2.6</v>
      </c>
      <c r="D27" s="6">
        <v>345</v>
      </c>
      <c r="E27" s="6">
        <v>2.82</v>
      </c>
      <c r="F27" s="6">
        <v>0.73</v>
      </c>
      <c r="G27" s="6">
        <v>135.80000000000001</v>
      </c>
      <c r="H27" s="6">
        <v>51</v>
      </c>
      <c r="I27" s="6">
        <v>125.48</v>
      </c>
      <c r="J27" s="6">
        <v>37.799999999999997</v>
      </c>
      <c r="K27" s="6">
        <v>3.176E-3</v>
      </c>
      <c r="L27" s="6">
        <v>65</v>
      </c>
      <c r="M27" s="6">
        <v>280</v>
      </c>
      <c r="N27" s="6">
        <v>104.504</v>
      </c>
      <c r="O27" s="6">
        <v>76.174000000000007</v>
      </c>
      <c r="P27" s="8">
        <f t="shared" si="0"/>
        <v>28.33</v>
      </c>
      <c r="R27" s="6"/>
      <c r="T27" s="6"/>
      <c r="V27" s="6"/>
      <c r="X27" s="6"/>
      <c r="Z27" s="6"/>
      <c r="AB27" s="6"/>
      <c r="AD27" s="8"/>
    </row>
    <row r="28" spans="1:30" x14ac:dyDescent="0.3">
      <c r="A28" s="6">
        <v>700</v>
      </c>
      <c r="B28" s="6">
        <v>5</v>
      </c>
      <c r="C28" s="6">
        <v>5</v>
      </c>
      <c r="D28" s="6">
        <v>340</v>
      </c>
      <c r="E28" s="6">
        <v>0.6</v>
      </c>
      <c r="F28" s="6">
        <v>0.73</v>
      </c>
      <c r="G28" s="6">
        <v>330.29</v>
      </c>
      <c r="H28" s="6">
        <v>69.8</v>
      </c>
      <c r="I28" s="6">
        <v>153</v>
      </c>
      <c r="J28" s="6">
        <v>29</v>
      </c>
      <c r="K28" s="6">
        <v>5.0312063138558899E-3</v>
      </c>
      <c r="L28" s="6">
        <v>80</v>
      </c>
      <c r="M28" s="6">
        <v>260</v>
      </c>
      <c r="N28" s="6">
        <v>88.63</v>
      </c>
      <c r="O28" s="6">
        <v>83.671000000000006</v>
      </c>
      <c r="P28" s="8">
        <f t="shared" si="0"/>
        <v>4.958999999999989</v>
      </c>
      <c r="R28" s="6"/>
      <c r="T28" s="6"/>
      <c r="V28" s="6"/>
      <c r="X28" s="6"/>
      <c r="Z28" s="6"/>
      <c r="AB28" s="6"/>
      <c r="AD28" s="8"/>
    </row>
    <row r="29" spans="1:30" x14ac:dyDescent="0.3">
      <c r="A29" s="6">
        <v>640</v>
      </c>
      <c r="B29" s="6">
        <v>5</v>
      </c>
      <c r="C29" s="6">
        <v>5.5</v>
      </c>
      <c r="D29" s="6">
        <v>330</v>
      </c>
      <c r="E29" s="6">
        <v>1.1000000000000001</v>
      </c>
      <c r="F29" s="6">
        <v>0.73</v>
      </c>
      <c r="G29" s="6">
        <v>305.81</v>
      </c>
      <c r="H29" s="6">
        <v>69.8</v>
      </c>
      <c r="I29" s="6">
        <v>142.9</v>
      </c>
      <c r="J29" s="6">
        <v>42.16</v>
      </c>
      <c r="K29" s="6">
        <v>4.1599999999999996E-3</v>
      </c>
      <c r="L29" s="6">
        <v>65</v>
      </c>
      <c r="M29" s="6">
        <v>265</v>
      </c>
      <c r="N29" s="6">
        <v>106.845</v>
      </c>
      <c r="O29" s="6">
        <v>102.273</v>
      </c>
      <c r="P29" s="8">
        <f t="shared" si="0"/>
        <v>4.5720000000000027</v>
      </c>
      <c r="R29" s="6"/>
      <c r="T29" s="6"/>
      <c r="V29" s="6"/>
      <c r="X29" s="6"/>
      <c r="Z29" s="6"/>
      <c r="AB29" s="6"/>
      <c r="AD29" s="8"/>
    </row>
    <row r="30" spans="1:30" x14ac:dyDescent="0.3">
      <c r="A30" s="6">
        <v>700</v>
      </c>
      <c r="B30" s="6">
        <v>5</v>
      </c>
      <c r="C30" s="6">
        <v>5.2</v>
      </c>
      <c r="D30" s="6">
        <v>345</v>
      </c>
      <c r="E30" s="6">
        <v>1</v>
      </c>
      <c r="F30" s="6">
        <v>0.73</v>
      </c>
      <c r="G30" s="6">
        <v>310.60000000000002</v>
      </c>
      <c r="H30" s="6">
        <v>69.8</v>
      </c>
      <c r="I30" s="6">
        <v>166.6</v>
      </c>
      <c r="J30" s="6">
        <v>44.3</v>
      </c>
      <c r="K30" s="6">
        <v>3.0699999999999998E-3</v>
      </c>
      <c r="L30" s="6">
        <v>65</v>
      </c>
      <c r="M30" s="6">
        <v>280</v>
      </c>
      <c r="N30" s="6">
        <v>87.417000000000002</v>
      </c>
      <c r="O30" s="6">
        <v>68.864000000000004</v>
      </c>
      <c r="P30" s="8">
        <f t="shared" si="0"/>
        <v>18.552999999999997</v>
      </c>
      <c r="R30" s="6"/>
      <c r="T30" s="6"/>
      <c r="V30" s="6"/>
      <c r="X30" s="6"/>
      <c r="Z30" s="6"/>
      <c r="AB30" s="6"/>
      <c r="AD30" s="8"/>
    </row>
    <row r="31" spans="1:30" x14ac:dyDescent="0.3">
      <c r="A31" s="6">
        <v>610</v>
      </c>
      <c r="B31" s="6">
        <v>5</v>
      </c>
      <c r="C31" s="6">
        <v>4.5999999999999996</v>
      </c>
      <c r="D31" s="6">
        <v>290</v>
      </c>
      <c r="E31" s="6">
        <v>3</v>
      </c>
      <c r="F31" s="6">
        <v>0.84</v>
      </c>
      <c r="G31" s="6">
        <v>336.37</v>
      </c>
      <c r="H31" s="6">
        <v>51</v>
      </c>
      <c r="I31" s="6">
        <v>143.25</v>
      </c>
      <c r="J31" s="6">
        <v>18.702999999999999</v>
      </c>
      <c r="K31" s="6">
        <v>6.0019000000000001E-3</v>
      </c>
      <c r="L31" s="6">
        <v>65</v>
      </c>
      <c r="M31" s="6">
        <v>225</v>
      </c>
      <c r="N31" s="6">
        <v>81.706000000000003</v>
      </c>
      <c r="O31" s="6">
        <v>78.081999999999994</v>
      </c>
      <c r="P31" s="8">
        <f t="shared" si="0"/>
        <v>3.6240000000000094</v>
      </c>
      <c r="R31" s="6"/>
      <c r="T31" s="6"/>
      <c r="V31" s="6"/>
      <c r="X31" s="6"/>
      <c r="Z31" s="6"/>
      <c r="AB31" s="6"/>
      <c r="AD31" s="8"/>
    </row>
    <row r="32" spans="1:30" x14ac:dyDescent="0.3">
      <c r="A32" s="6">
        <v>690</v>
      </c>
      <c r="B32" s="6">
        <v>5</v>
      </c>
      <c r="C32" s="6">
        <v>5</v>
      </c>
      <c r="D32" s="6">
        <v>270</v>
      </c>
      <c r="E32" s="6">
        <v>0.89</v>
      </c>
      <c r="F32" s="6">
        <v>0.84</v>
      </c>
      <c r="G32" s="6">
        <v>340</v>
      </c>
      <c r="H32" s="6">
        <v>38.299999999999997</v>
      </c>
      <c r="I32" s="6">
        <v>157</v>
      </c>
      <c r="J32" s="6">
        <v>37</v>
      </c>
      <c r="K32" s="6">
        <v>4.4424946828891757E-3</v>
      </c>
      <c r="L32" s="6">
        <v>50</v>
      </c>
      <c r="M32" s="6">
        <v>220</v>
      </c>
      <c r="N32" s="6">
        <v>82.311000000000007</v>
      </c>
      <c r="O32" s="6">
        <v>75.242000000000004</v>
      </c>
      <c r="P32" s="8">
        <f t="shared" si="0"/>
        <v>7.0690000000000026</v>
      </c>
      <c r="R32" s="6"/>
      <c r="T32" s="6"/>
      <c r="V32" s="6"/>
      <c r="X32" s="6"/>
      <c r="Z32" s="6"/>
      <c r="AB32" s="6"/>
      <c r="AD32" s="8"/>
    </row>
    <row r="33" spans="1:30" x14ac:dyDescent="0.3">
      <c r="A33" s="6">
        <v>700</v>
      </c>
      <c r="B33" s="6">
        <v>5</v>
      </c>
      <c r="C33" s="6">
        <v>2</v>
      </c>
      <c r="D33" s="6">
        <v>330</v>
      </c>
      <c r="E33" s="6">
        <v>2.4</v>
      </c>
      <c r="F33" s="6">
        <v>0.75</v>
      </c>
      <c r="G33" s="6">
        <v>164.74</v>
      </c>
      <c r="H33" s="6">
        <v>50</v>
      </c>
      <c r="I33" s="6">
        <v>137.74</v>
      </c>
      <c r="J33" s="6">
        <v>33.912999999999997</v>
      </c>
      <c r="K33" s="6">
        <v>3.3296999999999997E-3</v>
      </c>
      <c r="L33" s="6">
        <v>65</v>
      </c>
      <c r="M33" s="6">
        <v>265</v>
      </c>
      <c r="N33" s="6">
        <v>54.475999999999999</v>
      </c>
      <c r="O33" s="6">
        <v>43.128999999999998</v>
      </c>
      <c r="P33" s="8">
        <f t="shared" si="0"/>
        <v>11.347000000000001</v>
      </c>
      <c r="R33" s="6"/>
      <c r="T33" s="6"/>
      <c r="V33" s="6"/>
      <c r="X33" s="6"/>
      <c r="Z33" s="6"/>
      <c r="AB33" s="6"/>
      <c r="AD33" s="8"/>
    </row>
    <row r="34" spans="1:30" x14ac:dyDescent="0.3">
      <c r="A34" s="6">
        <v>700</v>
      </c>
      <c r="B34" s="6">
        <v>5</v>
      </c>
      <c r="C34" s="6">
        <v>0.8</v>
      </c>
      <c r="D34" s="6">
        <v>330</v>
      </c>
      <c r="E34" s="6">
        <v>1.4</v>
      </c>
      <c r="F34" s="6">
        <v>0.73</v>
      </c>
      <c r="G34" s="6">
        <v>155.52000000000001</v>
      </c>
      <c r="H34" s="6">
        <v>50</v>
      </c>
      <c r="I34" s="6">
        <v>121.28</v>
      </c>
      <c r="J34" s="6">
        <v>38.636000000000003</v>
      </c>
      <c r="K34" s="6">
        <v>3.7904000000000002E-3</v>
      </c>
      <c r="L34" s="6">
        <v>65</v>
      </c>
      <c r="M34" s="6">
        <v>265</v>
      </c>
      <c r="N34" s="6">
        <v>62.767000000000003</v>
      </c>
      <c r="O34" s="6">
        <v>49.904000000000003</v>
      </c>
      <c r="P34" s="8">
        <f t="shared" ref="P34:P65" si="1">N34-O34</f>
        <v>12.863</v>
      </c>
      <c r="R34" s="6"/>
      <c r="T34" s="6"/>
      <c r="V34" s="6"/>
      <c r="X34" s="6"/>
      <c r="Z34" s="6"/>
      <c r="AB34" s="6"/>
      <c r="AD34" s="8"/>
    </row>
    <row r="35" spans="1:30" x14ac:dyDescent="0.3">
      <c r="A35" s="6">
        <v>660</v>
      </c>
      <c r="B35" s="6">
        <v>5</v>
      </c>
      <c r="C35" s="6">
        <v>5.2</v>
      </c>
      <c r="D35" s="6">
        <v>360</v>
      </c>
      <c r="E35" s="6">
        <v>0.8</v>
      </c>
      <c r="F35" s="6">
        <v>0.73</v>
      </c>
      <c r="G35" s="6">
        <v>131.77000000000001</v>
      </c>
      <c r="H35" s="6">
        <v>70.8</v>
      </c>
      <c r="I35" s="6">
        <v>155.5</v>
      </c>
      <c r="J35" s="6">
        <v>38.020000000000003</v>
      </c>
      <c r="K35" s="6">
        <v>4.1399999999999996E-3</v>
      </c>
      <c r="L35" s="6">
        <v>65</v>
      </c>
      <c r="M35" s="6">
        <v>295</v>
      </c>
      <c r="N35" s="6">
        <v>63.98</v>
      </c>
      <c r="O35" s="6">
        <v>45.247</v>
      </c>
      <c r="P35" s="8">
        <f t="shared" si="1"/>
        <v>18.732999999999997</v>
      </c>
      <c r="R35" s="6"/>
      <c r="T35" s="6"/>
      <c r="V35" s="6"/>
      <c r="X35" s="6"/>
      <c r="Z35" s="6"/>
      <c r="AB35" s="6"/>
      <c r="AD35" s="8"/>
    </row>
    <row r="36" spans="1:30" x14ac:dyDescent="0.3">
      <c r="A36" s="6">
        <v>695</v>
      </c>
      <c r="B36" s="6">
        <v>5</v>
      </c>
      <c r="C36" s="6">
        <v>4.0999999999999996</v>
      </c>
      <c r="D36" s="6">
        <v>340</v>
      </c>
      <c r="E36" s="6">
        <v>0.8</v>
      </c>
      <c r="F36" s="6">
        <v>0.83899999999999997</v>
      </c>
      <c r="G36" s="6">
        <v>241.12899999999999</v>
      </c>
      <c r="H36" s="6">
        <v>71.8</v>
      </c>
      <c r="I36" s="6">
        <v>169.6</v>
      </c>
      <c r="J36" s="6">
        <v>29.5</v>
      </c>
      <c r="K36" s="6">
        <v>5.5999999999999999E-3</v>
      </c>
      <c r="L36" s="6">
        <v>150</v>
      </c>
      <c r="M36" s="6">
        <v>190</v>
      </c>
      <c r="N36" s="6">
        <v>80.968999999999994</v>
      </c>
      <c r="O36" s="6">
        <v>62.677</v>
      </c>
      <c r="P36" s="8">
        <f t="shared" si="1"/>
        <v>18.291999999999994</v>
      </c>
      <c r="R36" s="6"/>
      <c r="T36" s="6"/>
      <c r="V36" s="6"/>
      <c r="X36" s="6"/>
      <c r="Z36" s="6"/>
      <c r="AB36" s="6"/>
      <c r="AD36" s="8"/>
    </row>
    <row r="37" spans="1:30" x14ac:dyDescent="0.3">
      <c r="A37" s="6">
        <v>695</v>
      </c>
      <c r="B37" s="6">
        <v>5</v>
      </c>
      <c r="C37" s="6">
        <v>7.4</v>
      </c>
      <c r="D37" s="6">
        <v>385</v>
      </c>
      <c r="E37" s="6">
        <v>0.8</v>
      </c>
      <c r="F37" s="6">
        <v>0.83899999999999997</v>
      </c>
      <c r="G37" s="6">
        <v>324.85899999999998</v>
      </c>
      <c r="H37" s="6">
        <v>69.7</v>
      </c>
      <c r="I37" s="6">
        <v>208.8</v>
      </c>
      <c r="J37" s="6">
        <v>28</v>
      </c>
      <c r="K37" s="6">
        <v>4.7999999999999996E-3</v>
      </c>
      <c r="L37" s="6">
        <v>65</v>
      </c>
      <c r="M37" s="6">
        <v>320</v>
      </c>
      <c r="N37" s="6">
        <v>97.424999999999997</v>
      </c>
      <c r="O37" s="6">
        <v>76.513999999999996</v>
      </c>
      <c r="P37" s="8">
        <f t="shared" si="1"/>
        <v>20.911000000000001</v>
      </c>
      <c r="R37" s="6"/>
      <c r="T37" s="6"/>
      <c r="V37" s="6"/>
      <c r="X37" s="6"/>
      <c r="Z37" s="6"/>
      <c r="AB37" s="6"/>
      <c r="AD37" s="8"/>
    </row>
    <row r="38" spans="1:30" x14ac:dyDescent="0.3">
      <c r="A38" s="6">
        <v>700</v>
      </c>
      <c r="B38" s="6">
        <v>5</v>
      </c>
      <c r="C38" s="6">
        <v>5</v>
      </c>
      <c r="D38" s="6">
        <v>245</v>
      </c>
      <c r="E38" s="6">
        <v>0.8</v>
      </c>
      <c r="F38" s="6">
        <v>0.73</v>
      </c>
      <c r="G38" s="6">
        <v>245.27</v>
      </c>
      <c r="H38" s="6">
        <v>45.8</v>
      </c>
      <c r="I38" s="6">
        <v>128.69999999999999</v>
      </c>
      <c r="J38" s="6">
        <v>47.36</v>
      </c>
      <c r="K38" s="6">
        <v>2.5900000000000003E-3</v>
      </c>
      <c r="L38" s="6">
        <v>60</v>
      </c>
      <c r="M38" s="6">
        <v>185</v>
      </c>
      <c r="N38" s="6">
        <v>76.290000000000006</v>
      </c>
      <c r="O38" s="6">
        <v>58.551000000000002</v>
      </c>
      <c r="P38" s="8">
        <f t="shared" si="1"/>
        <v>17.739000000000004</v>
      </c>
      <c r="R38" s="6"/>
      <c r="T38" s="6"/>
      <c r="V38" s="6"/>
      <c r="X38" s="6"/>
      <c r="Z38" s="6"/>
      <c r="AB38" s="6"/>
      <c r="AD38" s="8"/>
    </row>
    <row r="39" spans="1:30" x14ac:dyDescent="0.3">
      <c r="A39" s="6">
        <v>740</v>
      </c>
      <c r="B39" s="6">
        <v>5</v>
      </c>
      <c r="C39" s="6">
        <v>2.2000000000000002</v>
      </c>
      <c r="D39" s="6">
        <v>360</v>
      </c>
      <c r="E39" s="6">
        <v>1.6</v>
      </c>
      <c r="F39" s="6">
        <v>0.73</v>
      </c>
      <c r="G39" s="6">
        <v>161</v>
      </c>
      <c r="H39" s="6">
        <v>70</v>
      </c>
      <c r="I39" s="6">
        <v>144.26</v>
      </c>
      <c r="J39" s="6">
        <v>24.611000000000001</v>
      </c>
      <c r="K39" s="6">
        <v>8.9175999999999995E-3</v>
      </c>
      <c r="L39" s="6">
        <v>60</v>
      </c>
      <c r="M39" s="6">
        <v>300</v>
      </c>
      <c r="N39" s="6">
        <v>87.123999999999995</v>
      </c>
      <c r="O39" s="6">
        <v>77.734999999999999</v>
      </c>
      <c r="P39" s="8">
        <f t="shared" si="1"/>
        <v>9.3889999999999958</v>
      </c>
      <c r="R39" s="6"/>
      <c r="T39" s="6"/>
      <c r="V39" s="6"/>
      <c r="X39" s="6"/>
      <c r="Z39" s="6"/>
      <c r="AB39" s="6"/>
      <c r="AD39" s="8"/>
    </row>
    <row r="40" spans="1:30" x14ac:dyDescent="0.3">
      <c r="A40" s="6">
        <v>715</v>
      </c>
      <c r="B40" s="6">
        <v>5</v>
      </c>
      <c r="C40" s="6">
        <v>5</v>
      </c>
      <c r="D40" s="6">
        <v>399</v>
      </c>
      <c r="E40" s="6">
        <v>2</v>
      </c>
      <c r="F40" s="6">
        <v>0.7</v>
      </c>
      <c r="G40" s="6">
        <v>151.11000000000001</v>
      </c>
      <c r="H40" s="6">
        <v>70</v>
      </c>
      <c r="I40" s="6">
        <v>137.43</v>
      </c>
      <c r="J40" s="6">
        <v>28.684999999999999</v>
      </c>
      <c r="K40" s="6">
        <v>3.0201E-3</v>
      </c>
      <c r="L40" s="6">
        <v>65</v>
      </c>
      <c r="M40" s="6">
        <v>334</v>
      </c>
      <c r="N40" s="6">
        <v>100.764</v>
      </c>
      <c r="O40" s="6">
        <v>90.384</v>
      </c>
      <c r="P40" s="8">
        <f t="shared" si="1"/>
        <v>10.379999999999995</v>
      </c>
      <c r="R40" s="6"/>
      <c r="T40" s="6"/>
      <c r="V40" s="6"/>
      <c r="X40" s="6"/>
      <c r="Z40" s="6"/>
      <c r="AB40" s="6"/>
      <c r="AD40" s="8"/>
    </row>
    <row r="41" spans="1:30" x14ac:dyDescent="0.3">
      <c r="A41" s="6">
        <v>680</v>
      </c>
      <c r="B41" s="6">
        <v>5</v>
      </c>
      <c r="C41" s="6">
        <v>5</v>
      </c>
      <c r="D41" s="6">
        <v>312</v>
      </c>
      <c r="E41" s="6">
        <v>1.4</v>
      </c>
      <c r="F41" s="6">
        <v>0.83899999999999997</v>
      </c>
      <c r="G41" s="6">
        <v>279.73</v>
      </c>
      <c r="H41" s="6">
        <v>73.3</v>
      </c>
      <c r="I41" s="6">
        <v>197.8</v>
      </c>
      <c r="J41" s="6">
        <v>29.8</v>
      </c>
      <c r="K41" s="6">
        <v>5.0000000000000001E-3</v>
      </c>
      <c r="L41" s="6">
        <v>65</v>
      </c>
      <c r="M41" s="6">
        <v>247</v>
      </c>
      <c r="N41" s="6">
        <v>59.029000000000003</v>
      </c>
      <c r="O41" s="6">
        <v>54.008000000000003</v>
      </c>
      <c r="P41" s="8">
        <f t="shared" si="1"/>
        <v>5.0210000000000008</v>
      </c>
      <c r="R41" s="6"/>
      <c r="T41" s="6"/>
      <c r="V41" s="6"/>
      <c r="X41" s="6"/>
      <c r="Z41" s="6"/>
      <c r="AB41" s="6"/>
      <c r="AD41" s="8"/>
    </row>
    <row r="42" spans="1:30" x14ac:dyDescent="0.3">
      <c r="A42" s="6">
        <v>690</v>
      </c>
      <c r="B42" s="6">
        <v>6</v>
      </c>
      <c r="C42" s="6">
        <v>5</v>
      </c>
      <c r="D42" s="6">
        <v>280</v>
      </c>
      <c r="E42" s="6">
        <v>1.3</v>
      </c>
      <c r="F42" s="6">
        <v>0.73</v>
      </c>
      <c r="G42" s="6">
        <v>291.13</v>
      </c>
      <c r="H42" s="6">
        <v>72.8</v>
      </c>
      <c r="I42" s="6">
        <v>201.4</v>
      </c>
      <c r="J42" s="6">
        <v>28.3</v>
      </c>
      <c r="K42" s="6">
        <v>5.0000000000000001E-3</v>
      </c>
      <c r="L42" s="6">
        <v>65</v>
      </c>
      <c r="M42" s="6">
        <v>215</v>
      </c>
      <c r="N42" s="6">
        <v>90.481999999999999</v>
      </c>
      <c r="O42" s="6">
        <v>86.501000000000005</v>
      </c>
      <c r="P42" s="8">
        <f t="shared" si="1"/>
        <v>3.9809999999999945</v>
      </c>
      <c r="R42" s="6"/>
      <c r="T42" s="6"/>
      <c r="V42" s="6"/>
      <c r="X42" s="6"/>
      <c r="Z42" s="6"/>
      <c r="AB42" s="6"/>
      <c r="AD42" s="8"/>
    </row>
    <row r="43" spans="1:30" x14ac:dyDescent="0.3">
      <c r="A43" s="6">
        <v>675</v>
      </c>
      <c r="B43" s="6">
        <v>5</v>
      </c>
      <c r="C43" s="6">
        <v>3.7</v>
      </c>
      <c r="D43" s="6">
        <v>375</v>
      </c>
      <c r="E43" s="6">
        <v>0.2</v>
      </c>
      <c r="F43" s="6">
        <v>0.83899999999999997</v>
      </c>
      <c r="G43" s="6">
        <v>123</v>
      </c>
      <c r="H43" s="6">
        <v>65</v>
      </c>
      <c r="I43" s="6">
        <v>162.44999999999999</v>
      </c>
      <c r="J43" s="6">
        <v>32.231999999999999</v>
      </c>
      <c r="K43" s="6">
        <v>2.4127999999999997E-3</v>
      </c>
      <c r="L43" s="6">
        <v>65</v>
      </c>
      <c r="M43" s="6">
        <v>310</v>
      </c>
      <c r="N43" s="6">
        <v>68.653000000000006</v>
      </c>
      <c r="O43" s="6">
        <v>59.954999999999998</v>
      </c>
      <c r="P43" s="8">
        <f t="shared" si="1"/>
        <v>8.6980000000000075</v>
      </c>
      <c r="R43" s="6"/>
      <c r="T43" s="6"/>
      <c r="V43" s="6"/>
      <c r="X43" s="6"/>
      <c r="Z43" s="6"/>
      <c r="AB43" s="6"/>
      <c r="AD43" s="8"/>
    </row>
    <row r="44" spans="1:30" x14ac:dyDescent="0.3">
      <c r="A44" s="6">
        <v>675</v>
      </c>
      <c r="B44" s="6">
        <v>5</v>
      </c>
      <c r="C44" s="6">
        <v>5.2</v>
      </c>
      <c r="D44" s="6">
        <v>305</v>
      </c>
      <c r="E44" s="6">
        <v>2.75</v>
      </c>
      <c r="F44" s="6">
        <v>0.7</v>
      </c>
      <c r="G44" s="6">
        <v>351.51</v>
      </c>
      <c r="H44" s="6">
        <v>70</v>
      </c>
      <c r="I44" s="6">
        <v>167.06</v>
      </c>
      <c r="J44" s="6">
        <v>26.001000000000001</v>
      </c>
      <c r="K44" s="6">
        <v>3.6186E-3</v>
      </c>
      <c r="L44" s="6">
        <v>65</v>
      </c>
      <c r="M44" s="6">
        <v>240</v>
      </c>
      <c r="N44" s="6">
        <v>116.339</v>
      </c>
      <c r="O44" s="6">
        <v>106.211</v>
      </c>
      <c r="P44" s="8">
        <f t="shared" si="1"/>
        <v>10.128</v>
      </c>
      <c r="R44" s="6"/>
      <c r="T44" s="6"/>
      <c r="V44" s="6"/>
      <c r="X44" s="6"/>
      <c r="Z44" s="6"/>
      <c r="AB44" s="6"/>
      <c r="AD44" s="8"/>
    </row>
    <row r="45" spans="1:30" x14ac:dyDescent="0.3">
      <c r="A45" s="6">
        <v>700</v>
      </c>
      <c r="B45" s="6">
        <v>5</v>
      </c>
      <c r="C45" s="6">
        <v>6.8</v>
      </c>
      <c r="D45" s="6">
        <v>345</v>
      </c>
      <c r="E45" s="6">
        <v>2.5</v>
      </c>
      <c r="F45" s="6">
        <v>0.85</v>
      </c>
      <c r="G45" s="6">
        <v>337.14</v>
      </c>
      <c r="H45" s="6">
        <v>50</v>
      </c>
      <c r="I45" s="6">
        <v>136.15</v>
      </c>
      <c r="J45" s="6">
        <v>29.821999999999999</v>
      </c>
      <c r="K45" s="6">
        <v>3.4196000000000001E-3</v>
      </c>
      <c r="L45" s="6">
        <v>65</v>
      </c>
      <c r="M45" s="6">
        <v>280</v>
      </c>
      <c r="N45" s="6">
        <v>95.710999999999999</v>
      </c>
      <c r="O45" s="6">
        <v>76.748000000000005</v>
      </c>
      <c r="P45" s="8">
        <f t="shared" si="1"/>
        <v>18.962999999999994</v>
      </c>
      <c r="R45" s="6"/>
      <c r="T45" s="6"/>
      <c r="V45" s="6"/>
      <c r="X45" s="6"/>
      <c r="Z45" s="6"/>
      <c r="AB45" s="6"/>
      <c r="AD45" s="8"/>
    </row>
    <row r="46" spans="1:30" x14ac:dyDescent="0.3">
      <c r="A46" s="6">
        <v>700</v>
      </c>
      <c r="B46" s="6">
        <v>6</v>
      </c>
      <c r="C46" s="6">
        <v>4.5999999999999996</v>
      </c>
      <c r="D46" s="6">
        <v>350</v>
      </c>
      <c r="E46" s="6">
        <v>2</v>
      </c>
      <c r="F46" s="6">
        <v>0.83899999999999997</v>
      </c>
      <c r="G46" s="6">
        <v>128.16999999999999</v>
      </c>
      <c r="H46" s="6">
        <v>71.8</v>
      </c>
      <c r="I46" s="6">
        <v>171.1</v>
      </c>
      <c r="J46" s="6">
        <v>37.6</v>
      </c>
      <c r="K46" s="6">
        <v>4.4000000000000003E-3</v>
      </c>
      <c r="L46" s="6">
        <v>150</v>
      </c>
      <c r="M46" s="6">
        <v>200</v>
      </c>
      <c r="N46" s="6">
        <v>105.89700000000001</v>
      </c>
      <c r="O46" s="6">
        <v>99.986999999999995</v>
      </c>
      <c r="P46" s="8">
        <f t="shared" si="1"/>
        <v>5.9100000000000108</v>
      </c>
      <c r="R46" s="6"/>
      <c r="T46" s="6"/>
      <c r="V46" s="6"/>
      <c r="X46" s="6"/>
      <c r="Z46" s="6"/>
      <c r="AB46" s="6"/>
      <c r="AD46" s="8"/>
    </row>
    <row r="47" spans="1:30" x14ac:dyDescent="0.3">
      <c r="A47" s="6">
        <v>720</v>
      </c>
      <c r="B47" s="6">
        <v>5</v>
      </c>
      <c r="C47" s="6">
        <v>7.8</v>
      </c>
      <c r="D47" s="6">
        <v>375</v>
      </c>
      <c r="E47" s="6">
        <v>1.5</v>
      </c>
      <c r="F47" s="6">
        <v>0.83899999999999997</v>
      </c>
      <c r="G47" s="6">
        <v>336.23</v>
      </c>
      <c r="H47" s="6">
        <v>70</v>
      </c>
      <c r="I47" s="6">
        <v>132.86000000000001</v>
      </c>
      <c r="J47" s="6">
        <v>32.109000000000002</v>
      </c>
      <c r="K47" s="6">
        <v>3.8E-3</v>
      </c>
      <c r="L47" s="6">
        <v>65</v>
      </c>
      <c r="M47" s="6">
        <v>310</v>
      </c>
      <c r="N47" s="6">
        <v>129.25399999999999</v>
      </c>
      <c r="O47" s="6">
        <v>123.16</v>
      </c>
      <c r="P47" s="8">
        <f t="shared" si="1"/>
        <v>6.0939999999999941</v>
      </c>
      <c r="R47" s="6"/>
      <c r="T47" s="6"/>
      <c r="V47" s="6"/>
      <c r="X47" s="6"/>
      <c r="Z47" s="6"/>
      <c r="AB47" s="6"/>
      <c r="AD47" s="8"/>
    </row>
    <row r="48" spans="1:30" x14ac:dyDescent="0.3">
      <c r="A48" s="6">
        <v>665</v>
      </c>
      <c r="B48" s="6">
        <v>5</v>
      </c>
      <c r="C48" s="6">
        <v>5</v>
      </c>
      <c r="D48" s="6">
        <v>395</v>
      </c>
      <c r="E48" s="6">
        <v>0.7</v>
      </c>
      <c r="F48" s="6">
        <v>0.65600000000000003</v>
      </c>
      <c r="G48" s="6">
        <v>210.85</v>
      </c>
      <c r="H48" s="6">
        <v>38.299999999999997</v>
      </c>
      <c r="I48" s="6">
        <v>158</v>
      </c>
      <c r="J48" s="6">
        <v>23</v>
      </c>
      <c r="K48" s="6">
        <v>6.2137163349725699E-3</v>
      </c>
      <c r="L48" s="6">
        <v>65</v>
      </c>
      <c r="M48" s="6">
        <v>330</v>
      </c>
      <c r="N48" s="6">
        <v>110.789</v>
      </c>
      <c r="O48" s="6">
        <v>103.512</v>
      </c>
      <c r="P48" s="8">
        <f t="shared" si="1"/>
        <v>7.277000000000001</v>
      </c>
      <c r="R48" s="6"/>
      <c r="T48" s="6"/>
      <c r="V48" s="6"/>
      <c r="X48" s="6"/>
      <c r="Z48" s="6"/>
      <c r="AB48" s="6"/>
      <c r="AD48" s="8"/>
    </row>
    <row r="49" spans="1:30" x14ac:dyDescent="0.3">
      <c r="A49" s="6">
        <v>690</v>
      </c>
      <c r="B49" s="6">
        <v>5</v>
      </c>
      <c r="C49" s="6">
        <v>5.0999999999999996</v>
      </c>
      <c r="D49" s="6">
        <v>245</v>
      </c>
      <c r="E49" s="6">
        <v>0.8</v>
      </c>
      <c r="F49" s="6">
        <v>0.73</v>
      </c>
      <c r="G49" s="6">
        <v>320.60000000000002</v>
      </c>
      <c r="H49" s="6">
        <v>69.8</v>
      </c>
      <c r="I49" s="6">
        <v>133.19999999999999</v>
      </c>
      <c r="J49" s="6">
        <v>41.59</v>
      </c>
      <c r="K49" s="6">
        <v>4.13E-3</v>
      </c>
      <c r="L49" s="6">
        <v>60</v>
      </c>
      <c r="M49" s="6">
        <v>185</v>
      </c>
      <c r="N49" s="6">
        <v>130.50800000000001</v>
      </c>
      <c r="O49" s="6">
        <v>89.025999999999996</v>
      </c>
      <c r="P49" s="8">
        <f t="shared" si="1"/>
        <v>41.482000000000014</v>
      </c>
      <c r="R49" s="6"/>
      <c r="T49" s="6"/>
      <c r="V49" s="6"/>
      <c r="X49" s="6"/>
      <c r="Z49" s="6"/>
      <c r="AB49" s="6"/>
      <c r="AD49" s="8"/>
    </row>
    <row r="50" spans="1:30" x14ac:dyDescent="0.3">
      <c r="A50" s="6">
        <v>700</v>
      </c>
      <c r="B50" s="6">
        <v>5</v>
      </c>
      <c r="C50" s="6">
        <v>5.5</v>
      </c>
      <c r="D50" s="6">
        <v>380</v>
      </c>
      <c r="E50" s="6">
        <v>0.7</v>
      </c>
      <c r="F50" s="6">
        <v>0.65600000000000003</v>
      </c>
      <c r="G50" s="6">
        <v>310</v>
      </c>
      <c r="H50" s="6">
        <v>39.26</v>
      </c>
      <c r="I50" s="6">
        <v>136</v>
      </c>
      <c r="J50" s="6">
        <v>28</v>
      </c>
      <c r="K50" s="6">
        <v>5.888896159131061E-3</v>
      </c>
      <c r="L50" s="6">
        <v>150</v>
      </c>
      <c r="M50" s="6">
        <v>230</v>
      </c>
      <c r="N50" s="6">
        <v>104.977</v>
      </c>
      <c r="O50" s="6">
        <v>86.552999999999997</v>
      </c>
      <c r="P50" s="8">
        <f t="shared" si="1"/>
        <v>18.424000000000007</v>
      </c>
      <c r="R50" s="6"/>
      <c r="T50" s="6"/>
      <c r="V50" s="6"/>
      <c r="X50" s="6"/>
      <c r="Z50" s="6"/>
      <c r="AB50" s="6"/>
      <c r="AD50" s="8"/>
    </row>
    <row r="51" spans="1:30" x14ac:dyDescent="0.3">
      <c r="A51" s="6">
        <v>700</v>
      </c>
      <c r="B51" s="6">
        <v>5</v>
      </c>
      <c r="C51" s="6">
        <v>4.5</v>
      </c>
      <c r="D51" s="6">
        <v>330</v>
      </c>
      <c r="E51" s="6">
        <v>0.6</v>
      </c>
      <c r="F51" s="6">
        <v>0.69299999999999995</v>
      </c>
      <c r="G51" s="6">
        <v>135</v>
      </c>
      <c r="H51" s="6">
        <v>69.8</v>
      </c>
      <c r="I51" s="6">
        <v>159</v>
      </c>
      <c r="J51" s="6">
        <v>43</v>
      </c>
      <c r="K51" s="6">
        <v>3.4846674631620863E-3</v>
      </c>
      <c r="L51" s="6">
        <v>150</v>
      </c>
      <c r="M51" s="6">
        <v>180</v>
      </c>
      <c r="N51" s="6">
        <v>125.167</v>
      </c>
      <c r="O51" s="6">
        <v>111.577</v>
      </c>
      <c r="P51" s="8">
        <f t="shared" si="1"/>
        <v>13.590000000000003</v>
      </c>
      <c r="R51" s="6"/>
      <c r="T51" s="6"/>
      <c r="V51" s="6"/>
      <c r="X51" s="6"/>
      <c r="Z51" s="6"/>
      <c r="AB51" s="6"/>
      <c r="AD51" s="8"/>
    </row>
    <row r="52" spans="1:30" x14ac:dyDescent="0.3">
      <c r="A52" s="6">
        <v>238</v>
      </c>
      <c r="B52" s="6">
        <v>3</v>
      </c>
      <c r="C52" s="6">
        <v>2.1</v>
      </c>
      <c r="D52" s="6">
        <v>360</v>
      </c>
      <c r="E52" s="6">
        <v>1.4</v>
      </c>
      <c r="F52" s="6">
        <v>0.73</v>
      </c>
      <c r="G52" s="6">
        <v>113</v>
      </c>
      <c r="H52" s="6">
        <v>50</v>
      </c>
      <c r="I52" s="6">
        <v>96.650999999999996</v>
      </c>
      <c r="J52" s="6">
        <v>65.162999999999997</v>
      </c>
      <c r="K52" s="6">
        <v>2.8573000000000001E-3</v>
      </c>
      <c r="L52" s="6">
        <v>110</v>
      </c>
      <c r="M52" s="6">
        <v>250</v>
      </c>
      <c r="N52" s="6">
        <v>22.963000000000001</v>
      </c>
      <c r="O52" s="6">
        <v>17.145</v>
      </c>
      <c r="P52" s="8">
        <f t="shared" si="1"/>
        <v>5.8180000000000014</v>
      </c>
      <c r="R52" s="6"/>
      <c r="T52" s="6"/>
      <c r="V52" s="6"/>
      <c r="X52" s="6"/>
      <c r="Z52" s="6"/>
      <c r="AB52" s="6"/>
      <c r="AD52" s="8"/>
    </row>
    <row r="53" spans="1:30" x14ac:dyDescent="0.3">
      <c r="A53" s="6">
        <v>697</v>
      </c>
      <c r="B53" s="6">
        <v>5</v>
      </c>
      <c r="C53" s="6">
        <v>4.5</v>
      </c>
      <c r="D53" s="6">
        <v>375</v>
      </c>
      <c r="E53" s="6">
        <v>2.5</v>
      </c>
      <c r="F53" s="6">
        <v>0.73</v>
      </c>
      <c r="G53" s="6">
        <v>159.13999999999999</v>
      </c>
      <c r="H53" s="6">
        <v>65</v>
      </c>
      <c r="I53" s="6">
        <v>148.22</v>
      </c>
      <c r="J53" s="6">
        <v>37.909999999999997</v>
      </c>
      <c r="K53" s="6">
        <v>3.6501000000000003E-3</v>
      </c>
      <c r="L53" s="6">
        <v>65</v>
      </c>
      <c r="M53" s="6">
        <v>310</v>
      </c>
      <c r="N53" s="6">
        <v>48.031999999999996</v>
      </c>
      <c r="O53" s="6">
        <v>42.406999999999996</v>
      </c>
      <c r="P53" s="8">
        <f t="shared" si="1"/>
        <v>5.625</v>
      </c>
      <c r="R53" s="6"/>
      <c r="T53" s="6"/>
      <c r="V53" s="6"/>
      <c r="X53" s="6"/>
      <c r="Z53" s="6"/>
      <c r="AB53" s="6"/>
      <c r="AD53" s="8"/>
    </row>
    <row r="54" spans="1:30" x14ac:dyDescent="0.3">
      <c r="A54" s="6">
        <v>721</v>
      </c>
      <c r="B54" s="6">
        <v>5</v>
      </c>
      <c r="C54" s="6">
        <v>7.8</v>
      </c>
      <c r="D54" s="6">
        <v>380</v>
      </c>
      <c r="E54" s="6">
        <v>2</v>
      </c>
      <c r="F54" s="6">
        <v>0.83899999999999997</v>
      </c>
      <c r="G54" s="6">
        <v>154.22999999999999</v>
      </c>
      <c r="H54" s="6">
        <v>62.6</v>
      </c>
      <c r="I54" s="6">
        <v>121.2</v>
      </c>
      <c r="J54" s="6">
        <v>41.7</v>
      </c>
      <c r="K54" s="6">
        <v>3.5000000000000001E-3</v>
      </c>
      <c r="L54" s="6">
        <v>65</v>
      </c>
      <c r="M54" s="6">
        <v>315</v>
      </c>
      <c r="N54" s="6">
        <v>75.227999999999994</v>
      </c>
      <c r="O54" s="6">
        <v>65.206000000000003</v>
      </c>
      <c r="P54" s="8">
        <f t="shared" si="1"/>
        <v>10.021999999999991</v>
      </c>
      <c r="R54" s="6"/>
      <c r="T54" s="6"/>
      <c r="V54" s="6"/>
      <c r="X54" s="6"/>
      <c r="Z54" s="6"/>
      <c r="AB54" s="6"/>
      <c r="AD54" s="8"/>
    </row>
    <row r="55" spans="1:30" x14ac:dyDescent="0.3">
      <c r="A55" s="6">
        <v>260</v>
      </c>
      <c r="B55" s="6">
        <v>3</v>
      </c>
      <c r="C55" s="6">
        <v>1.6</v>
      </c>
      <c r="D55" s="6">
        <v>370</v>
      </c>
      <c r="E55" s="6">
        <v>1.7</v>
      </c>
      <c r="F55" s="6">
        <v>0.73</v>
      </c>
      <c r="G55" s="6">
        <v>322.02999999999997</v>
      </c>
      <c r="H55" s="6">
        <v>50</v>
      </c>
      <c r="I55" s="6">
        <v>124.98</v>
      </c>
      <c r="J55" s="6">
        <v>39.345999999999997</v>
      </c>
      <c r="K55" s="6">
        <v>3.1849000000000001E-3</v>
      </c>
      <c r="L55" s="6">
        <v>100</v>
      </c>
      <c r="M55" s="6">
        <v>270</v>
      </c>
      <c r="N55" s="6">
        <v>36.194000000000003</v>
      </c>
      <c r="O55" s="6">
        <v>27.024999999999999</v>
      </c>
      <c r="P55" s="8">
        <f t="shared" si="1"/>
        <v>9.169000000000004</v>
      </c>
      <c r="R55" s="6"/>
      <c r="T55" s="6"/>
      <c r="V55" s="6"/>
      <c r="X55" s="6"/>
      <c r="Z55" s="6"/>
      <c r="AB55" s="6"/>
      <c r="AD55" s="8"/>
    </row>
    <row r="56" spans="1:30" x14ac:dyDescent="0.3">
      <c r="A56" s="6">
        <v>698</v>
      </c>
      <c r="B56" s="6">
        <v>6</v>
      </c>
      <c r="C56" s="6">
        <v>3</v>
      </c>
      <c r="D56" s="6">
        <v>440</v>
      </c>
      <c r="E56" s="6">
        <v>0.6</v>
      </c>
      <c r="F56" s="6">
        <v>0.28999999999999998</v>
      </c>
      <c r="G56" s="6">
        <v>19</v>
      </c>
      <c r="H56" s="6">
        <v>89.82</v>
      </c>
      <c r="I56" s="6">
        <v>168</v>
      </c>
      <c r="J56" s="6">
        <v>57</v>
      </c>
      <c r="K56" s="6">
        <v>2.6106934001670842E-3</v>
      </c>
      <c r="L56" s="6">
        <v>95</v>
      </c>
      <c r="M56" s="6">
        <v>345</v>
      </c>
      <c r="N56" s="6">
        <v>102.85599999999999</v>
      </c>
      <c r="O56" s="6">
        <v>56.247999999999998</v>
      </c>
      <c r="P56" s="8">
        <f t="shared" si="1"/>
        <v>46.607999999999997</v>
      </c>
      <c r="R56" s="6"/>
      <c r="T56" s="6"/>
      <c r="V56" s="6"/>
      <c r="X56" s="6"/>
      <c r="Z56" s="6"/>
      <c r="AB56" s="6"/>
      <c r="AD56" s="8"/>
    </row>
    <row r="57" spans="1:30" x14ac:dyDescent="0.3">
      <c r="A57" s="6">
        <v>737</v>
      </c>
      <c r="B57" s="6">
        <v>6</v>
      </c>
      <c r="C57" s="6">
        <v>4</v>
      </c>
      <c r="D57" s="6">
        <v>440</v>
      </c>
      <c r="E57" s="6">
        <v>1.1000000000000001</v>
      </c>
      <c r="F57" s="6">
        <v>0.84</v>
      </c>
      <c r="G57" s="6">
        <v>203</v>
      </c>
      <c r="H57" s="6">
        <v>89.82</v>
      </c>
      <c r="I57" s="6">
        <v>171</v>
      </c>
      <c r="J57" s="6">
        <v>41</v>
      </c>
      <c r="K57" s="6">
        <v>4.1409582177315838E-3</v>
      </c>
      <c r="L57" s="6">
        <v>95</v>
      </c>
      <c r="M57" s="6">
        <v>345</v>
      </c>
      <c r="N57" s="6">
        <v>97.5</v>
      </c>
      <c r="O57" s="6">
        <v>42.67</v>
      </c>
      <c r="P57" s="8">
        <f t="shared" si="1"/>
        <v>54.83</v>
      </c>
      <c r="R57" s="6"/>
      <c r="T57" s="6"/>
      <c r="V57" s="6"/>
      <c r="X57" s="6"/>
      <c r="Z57" s="6"/>
      <c r="AB57" s="6"/>
      <c r="AD57" s="8"/>
    </row>
    <row r="58" spans="1:30" x14ac:dyDescent="0.3">
      <c r="A58" s="6">
        <v>700</v>
      </c>
      <c r="B58" s="6">
        <v>6</v>
      </c>
      <c r="C58" s="6">
        <v>3</v>
      </c>
      <c r="D58" s="6">
        <v>440</v>
      </c>
      <c r="E58" s="6">
        <v>0.6</v>
      </c>
      <c r="F58" s="6">
        <v>0.28999999999999998</v>
      </c>
      <c r="G58" s="6">
        <v>18</v>
      </c>
      <c r="H58" s="6">
        <v>90.2</v>
      </c>
      <c r="I58" s="6">
        <v>164</v>
      </c>
      <c r="J58" s="6">
        <v>59</v>
      </c>
      <c r="K58" s="6">
        <v>2.58371227780074E-3</v>
      </c>
      <c r="L58" s="6">
        <v>95</v>
      </c>
      <c r="M58" s="6">
        <v>345</v>
      </c>
      <c r="N58" s="6">
        <v>50.673999999999999</v>
      </c>
      <c r="O58" s="6">
        <v>38.896000000000001</v>
      </c>
      <c r="P58" s="8">
        <f t="shared" si="1"/>
        <v>11.777999999999999</v>
      </c>
      <c r="R58" s="6"/>
      <c r="T58" s="6"/>
      <c r="V58" s="6"/>
      <c r="X58" s="6"/>
      <c r="Z58" s="6"/>
      <c r="AB58" s="6"/>
      <c r="AD58" s="8"/>
    </row>
    <row r="59" spans="1:30" x14ac:dyDescent="0.3">
      <c r="A59" s="6">
        <v>729</v>
      </c>
      <c r="B59" s="6">
        <v>6</v>
      </c>
      <c r="C59" s="6">
        <v>4</v>
      </c>
      <c r="D59" s="6">
        <v>440</v>
      </c>
      <c r="E59" s="6">
        <v>1.2</v>
      </c>
      <c r="F59" s="6">
        <v>0.82199999999999995</v>
      </c>
      <c r="G59" s="6">
        <v>222</v>
      </c>
      <c r="H59" s="6">
        <v>89.8</v>
      </c>
      <c r="I59" s="6">
        <v>205</v>
      </c>
      <c r="J59" s="6">
        <v>53</v>
      </c>
      <c r="K59" s="6">
        <v>2.6720900197437763E-3</v>
      </c>
      <c r="L59" s="6">
        <v>95</v>
      </c>
      <c r="M59" s="6">
        <v>345</v>
      </c>
      <c r="N59" s="6">
        <v>65.064999999999998</v>
      </c>
      <c r="O59" s="6">
        <v>36.631</v>
      </c>
      <c r="P59" s="8">
        <f t="shared" si="1"/>
        <v>28.433999999999997</v>
      </c>
      <c r="R59" s="6"/>
      <c r="T59" s="6"/>
      <c r="V59" s="6"/>
      <c r="X59" s="6"/>
      <c r="Z59" s="6"/>
      <c r="AB59" s="6"/>
      <c r="AD59" s="8"/>
    </row>
    <row r="60" spans="1:30" x14ac:dyDescent="0.3">
      <c r="A60" s="6">
        <v>708</v>
      </c>
      <c r="B60" s="6">
        <v>5</v>
      </c>
      <c r="C60" s="6">
        <v>3.5</v>
      </c>
      <c r="D60" s="6">
        <v>461</v>
      </c>
      <c r="E60" s="6">
        <v>0.34</v>
      </c>
      <c r="F60" s="6">
        <v>0.82199999999999995</v>
      </c>
      <c r="G60" s="6">
        <v>49.11</v>
      </c>
      <c r="H60" s="6">
        <v>90</v>
      </c>
      <c r="I60" s="6">
        <v>136.44999999999999</v>
      </c>
      <c r="J60" s="6">
        <v>52.712000000000003</v>
      </c>
      <c r="K60" s="6">
        <v>3.7810000000000001E-3</v>
      </c>
      <c r="L60" s="6">
        <v>95</v>
      </c>
      <c r="M60" s="6">
        <v>366</v>
      </c>
      <c r="N60" s="6">
        <v>61.997</v>
      </c>
      <c r="O60" s="6">
        <v>47.353999999999999</v>
      </c>
      <c r="P60" s="8">
        <f t="shared" si="1"/>
        <v>14.643000000000001</v>
      </c>
      <c r="R60" s="6"/>
      <c r="T60" s="6"/>
      <c r="V60" s="6"/>
      <c r="X60" s="6"/>
      <c r="Z60" s="6"/>
      <c r="AB60" s="6"/>
      <c r="AD60" s="8"/>
    </row>
    <row r="61" spans="1:30" x14ac:dyDescent="0.3">
      <c r="A61" s="6">
        <v>701</v>
      </c>
      <c r="B61" s="6">
        <v>6</v>
      </c>
      <c r="C61" s="6">
        <v>3.5</v>
      </c>
      <c r="D61" s="6">
        <v>425</v>
      </c>
      <c r="E61" s="6">
        <v>0.34</v>
      </c>
      <c r="F61" s="6">
        <v>0.82199999999999995</v>
      </c>
      <c r="G61" s="6">
        <v>39.200000000000003</v>
      </c>
      <c r="H61" s="6">
        <v>90</v>
      </c>
      <c r="I61" s="6">
        <v>154.80000000000001</v>
      </c>
      <c r="J61" s="6">
        <v>50.037999999999997</v>
      </c>
      <c r="K61" s="6">
        <v>3.3708999999999996E-3</v>
      </c>
      <c r="L61" s="6">
        <v>95</v>
      </c>
      <c r="M61" s="6">
        <v>330</v>
      </c>
      <c r="N61" s="6">
        <v>40.567999999999998</v>
      </c>
      <c r="O61" s="6">
        <v>32.21</v>
      </c>
      <c r="P61" s="8">
        <f t="shared" si="1"/>
        <v>8.357999999999997</v>
      </c>
      <c r="R61" s="6"/>
      <c r="T61" s="6"/>
      <c r="V61" s="6"/>
      <c r="X61" s="6"/>
      <c r="Z61" s="6"/>
      <c r="AB61" s="6"/>
      <c r="AD61" s="8"/>
    </row>
    <row r="62" spans="1:30" x14ac:dyDescent="0.3">
      <c r="A62" s="6">
        <v>750</v>
      </c>
      <c r="B62" s="6">
        <v>6</v>
      </c>
      <c r="C62" s="6">
        <v>4</v>
      </c>
      <c r="D62" s="6">
        <v>450</v>
      </c>
      <c r="E62" s="6">
        <v>1.2</v>
      </c>
      <c r="F62" s="6">
        <v>0.82199999999999995</v>
      </c>
      <c r="G62" s="6">
        <v>39.4</v>
      </c>
      <c r="H62" s="6">
        <v>89.8</v>
      </c>
      <c r="I62" s="6">
        <v>157</v>
      </c>
      <c r="J62" s="6">
        <v>37</v>
      </c>
      <c r="K62" s="6">
        <v>4.4424946828891757E-3</v>
      </c>
      <c r="L62" s="6">
        <v>50</v>
      </c>
      <c r="M62" s="6">
        <v>400</v>
      </c>
      <c r="N62" s="6">
        <v>147.923</v>
      </c>
      <c r="O62" s="6">
        <v>88.028000000000006</v>
      </c>
      <c r="P62" s="8">
        <f t="shared" si="1"/>
        <v>59.894999999999996</v>
      </c>
      <c r="R62" s="6"/>
      <c r="T62" s="6"/>
      <c r="V62" s="6"/>
      <c r="X62" s="6"/>
      <c r="Z62" s="6"/>
      <c r="AB62" s="6"/>
      <c r="AD62" s="8"/>
    </row>
    <row r="63" spans="1:30" x14ac:dyDescent="0.3">
      <c r="A63" s="6">
        <v>715</v>
      </c>
      <c r="B63" s="6">
        <v>6</v>
      </c>
      <c r="C63" s="6">
        <v>10.3</v>
      </c>
      <c r="D63" s="6">
        <v>461</v>
      </c>
      <c r="E63" s="6">
        <v>0.34</v>
      </c>
      <c r="F63" s="6">
        <v>0.82199999999999995</v>
      </c>
      <c r="G63" s="6">
        <v>32.22</v>
      </c>
      <c r="H63" s="6">
        <v>50</v>
      </c>
      <c r="I63" s="6">
        <v>113.7</v>
      </c>
      <c r="J63" s="6">
        <v>43.2</v>
      </c>
      <c r="K63" s="6">
        <v>2.9500000000000004E-3</v>
      </c>
      <c r="L63" s="6">
        <v>230</v>
      </c>
      <c r="M63" s="6">
        <v>231</v>
      </c>
      <c r="N63" s="6">
        <v>89.474999999999994</v>
      </c>
      <c r="O63" s="6">
        <v>65.408000000000001</v>
      </c>
      <c r="P63" s="8">
        <f t="shared" si="1"/>
        <v>24.066999999999993</v>
      </c>
      <c r="R63" s="6"/>
      <c r="T63" s="6"/>
      <c r="V63" s="6"/>
      <c r="X63" s="6"/>
      <c r="Z63" s="6"/>
      <c r="AB63" s="6"/>
      <c r="AD63" s="8"/>
    </row>
    <row r="64" spans="1:30" x14ac:dyDescent="0.3">
      <c r="A64" s="6">
        <v>740</v>
      </c>
      <c r="B64" s="6">
        <v>5</v>
      </c>
      <c r="C64" s="6">
        <v>17</v>
      </c>
      <c r="D64" s="6">
        <v>461</v>
      </c>
      <c r="E64" s="6">
        <v>0.34</v>
      </c>
      <c r="F64" s="6">
        <v>0.26</v>
      </c>
      <c r="G64" s="6">
        <v>215.15</v>
      </c>
      <c r="H64" s="6">
        <v>91</v>
      </c>
      <c r="I64" s="6">
        <v>141.88999999999999</v>
      </c>
      <c r="J64" s="6">
        <v>58.3</v>
      </c>
      <c r="K64" s="6">
        <v>2.8E-3</v>
      </c>
      <c r="L64" s="6">
        <v>95</v>
      </c>
      <c r="M64" s="6">
        <v>366</v>
      </c>
      <c r="N64" s="6">
        <v>105.896</v>
      </c>
      <c r="O64" s="6">
        <v>81.012</v>
      </c>
      <c r="P64" s="8">
        <f t="shared" si="1"/>
        <v>24.884</v>
      </c>
      <c r="R64" s="6"/>
      <c r="T64" s="6"/>
      <c r="V64" s="6"/>
      <c r="X64" s="6"/>
      <c r="Z64" s="6"/>
      <c r="AB64" s="6"/>
      <c r="AD64" s="8"/>
    </row>
    <row r="65" spans="1:30" x14ac:dyDescent="0.3">
      <c r="A65" s="6">
        <v>700</v>
      </c>
      <c r="B65" s="6">
        <v>5</v>
      </c>
      <c r="C65" s="6">
        <v>17</v>
      </c>
      <c r="D65" s="6">
        <v>461</v>
      </c>
      <c r="E65" s="6">
        <v>0.34</v>
      </c>
      <c r="F65" s="6">
        <v>0.26</v>
      </c>
      <c r="G65" s="6">
        <v>42.35</v>
      </c>
      <c r="H65" s="6">
        <v>90</v>
      </c>
      <c r="I65" s="6">
        <v>140</v>
      </c>
      <c r="J65" s="6">
        <v>68.900000000000006</v>
      </c>
      <c r="K65" s="6">
        <v>2.8999999999999998E-3</v>
      </c>
      <c r="L65" s="6">
        <v>95</v>
      </c>
      <c r="M65" s="6">
        <v>366</v>
      </c>
      <c r="N65" s="6">
        <v>85.585999999999999</v>
      </c>
      <c r="O65" s="6">
        <v>57.953000000000003</v>
      </c>
      <c r="P65" s="8">
        <f t="shared" si="1"/>
        <v>27.632999999999996</v>
      </c>
      <c r="R65" s="6"/>
      <c r="T65" s="6"/>
      <c r="V65" s="6"/>
      <c r="X65" s="6"/>
      <c r="Z65" s="6"/>
      <c r="AB65" s="6"/>
      <c r="AD65" s="8"/>
    </row>
    <row r="66" spans="1:30" x14ac:dyDescent="0.3">
      <c r="A66" s="6">
        <v>695</v>
      </c>
      <c r="B66" s="6">
        <v>6</v>
      </c>
      <c r="C66" s="6">
        <v>4</v>
      </c>
      <c r="D66" s="6">
        <v>440</v>
      </c>
      <c r="E66" s="6">
        <v>1.1100000000000001</v>
      </c>
      <c r="F66" s="6">
        <v>0.82199999999999995</v>
      </c>
      <c r="G66" s="6">
        <v>219</v>
      </c>
      <c r="H66" s="6">
        <v>49.3</v>
      </c>
      <c r="I66" s="6">
        <v>157</v>
      </c>
      <c r="J66" s="6">
        <v>37</v>
      </c>
      <c r="K66" s="6">
        <v>4.4424946828891757E-3</v>
      </c>
      <c r="L66" s="6">
        <v>50</v>
      </c>
      <c r="M66" s="6">
        <v>390</v>
      </c>
      <c r="N66" s="6">
        <v>68.709000000000003</v>
      </c>
      <c r="O66" s="6">
        <v>27.946000000000002</v>
      </c>
      <c r="P66" s="8">
        <f t="shared" ref="P66:P97" si="2">N66-O66</f>
        <v>40.763000000000005</v>
      </c>
      <c r="R66" s="6"/>
      <c r="T66" s="6"/>
      <c r="V66" s="6"/>
      <c r="X66" s="6"/>
      <c r="Z66" s="6"/>
      <c r="AB66" s="6"/>
      <c r="AD66" s="8"/>
    </row>
    <row r="67" spans="1:30" x14ac:dyDescent="0.3">
      <c r="A67" s="6">
        <v>735</v>
      </c>
      <c r="B67" s="6">
        <v>6</v>
      </c>
      <c r="C67" s="6">
        <v>3.8</v>
      </c>
      <c r="D67" s="6">
        <v>420</v>
      </c>
      <c r="E67" s="6">
        <v>1</v>
      </c>
      <c r="F67" s="6">
        <v>0.82199999999999995</v>
      </c>
      <c r="G67" s="6">
        <v>218.8</v>
      </c>
      <c r="H67" s="6">
        <v>90.3</v>
      </c>
      <c r="I67" s="6">
        <v>148</v>
      </c>
      <c r="J67" s="6">
        <v>52</v>
      </c>
      <c r="K67" s="6">
        <v>3.7723828046408695E-3</v>
      </c>
      <c r="L67" s="6">
        <v>95</v>
      </c>
      <c r="M67" s="6">
        <v>325</v>
      </c>
      <c r="N67" s="6">
        <v>82.754999999999995</v>
      </c>
      <c r="O67" s="6">
        <v>25.228000000000002</v>
      </c>
      <c r="P67" s="8">
        <f t="shared" si="2"/>
        <v>57.526999999999994</v>
      </c>
      <c r="R67" s="6"/>
      <c r="T67" s="6"/>
      <c r="V67" s="6"/>
      <c r="X67" s="6"/>
      <c r="Z67" s="6"/>
      <c r="AB67" s="6"/>
      <c r="AD67" s="8"/>
    </row>
    <row r="68" spans="1:30" x14ac:dyDescent="0.3">
      <c r="A68" s="6">
        <v>680</v>
      </c>
      <c r="B68" s="6">
        <v>6</v>
      </c>
      <c r="C68" s="6">
        <v>3.5</v>
      </c>
      <c r="D68" s="6">
        <v>461</v>
      </c>
      <c r="E68" s="6">
        <v>0.34</v>
      </c>
      <c r="F68" s="6">
        <v>0.82199999999999995</v>
      </c>
      <c r="G68" s="6">
        <v>49.11</v>
      </c>
      <c r="H68" s="6">
        <v>90</v>
      </c>
      <c r="I68" s="6">
        <v>69.875</v>
      </c>
      <c r="J68" s="6">
        <v>32.125999999999998</v>
      </c>
      <c r="K68" s="6">
        <v>2.5156000000000002E-3</v>
      </c>
      <c r="L68" s="6">
        <v>95</v>
      </c>
      <c r="M68" s="6">
        <v>366</v>
      </c>
      <c r="N68" s="6">
        <v>64.591999999999999</v>
      </c>
      <c r="O68" s="6">
        <v>24.983000000000001</v>
      </c>
      <c r="P68" s="8">
        <f t="shared" si="2"/>
        <v>39.608999999999995</v>
      </c>
      <c r="R68" s="6"/>
      <c r="T68" s="6"/>
      <c r="V68" s="6"/>
      <c r="X68" s="6"/>
      <c r="Z68" s="6"/>
      <c r="AB68" s="6"/>
      <c r="AD68" s="8"/>
    </row>
    <row r="69" spans="1:30" x14ac:dyDescent="0.3">
      <c r="A69" s="6">
        <v>714</v>
      </c>
      <c r="B69" s="6">
        <v>6</v>
      </c>
      <c r="C69" s="6">
        <v>3.5</v>
      </c>
      <c r="D69" s="6">
        <v>461</v>
      </c>
      <c r="E69" s="6">
        <v>0.34</v>
      </c>
      <c r="F69" s="6">
        <v>0.82199999999999995</v>
      </c>
      <c r="G69" s="6">
        <v>49.11</v>
      </c>
      <c r="H69" s="6">
        <v>90</v>
      </c>
      <c r="I69" s="6">
        <v>171.66</v>
      </c>
      <c r="J69" s="6">
        <v>43.283999999999999</v>
      </c>
      <c r="K69" s="6">
        <v>3.6604999999999997E-3</v>
      </c>
      <c r="L69" s="6">
        <v>95</v>
      </c>
      <c r="M69" s="6">
        <v>366</v>
      </c>
      <c r="N69" s="6">
        <v>61.378</v>
      </c>
      <c r="O69" s="6">
        <v>24.321999999999999</v>
      </c>
      <c r="P69" s="8">
        <f t="shared" si="2"/>
        <v>37.055999999999997</v>
      </c>
      <c r="R69" s="6"/>
      <c r="T69" s="6"/>
      <c r="V69" s="6"/>
      <c r="X69" s="6"/>
      <c r="Z69" s="6"/>
      <c r="AB69" s="6"/>
      <c r="AD69" s="8"/>
    </row>
    <row r="70" spans="1:30" x14ac:dyDescent="0.3">
      <c r="A70" s="6">
        <v>697</v>
      </c>
      <c r="B70" s="6">
        <v>6</v>
      </c>
      <c r="C70" s="6">
        <v>3</v>
      </c>
      <c r="D70" s="6">
        <v>400</v>
      </c>
      <c r="E70" s="6">
        <v>0.6</v>
      </c>
      <c r="F70" s="6">
        <v>0.81399999999999995</v>
      </c>
      <c r="G70" s="6">
        <v>48.4</v>
      </c>
      <c r="H70" s="6">
        <v>63.8</v>
      </c>
      <c r="I70" s="6">
        <v>142</v>
      </c>
      <c r="J70" s="6">
        <v>40</v>
      </c>
      <c r="K70" s="6">
        <v>3.5779191276692412E-3</v>
      </c>
      <c r="L70" s="6">
        <v>95</v>
      </c>
      <c r="M70" s="6">
        <v>305</v>
      </c>
      <c r="N70" s="6">
        <v>73.492000000000004</v>
      </c>
      <c r="O70" s="6">
        <v>31.050999999999998</v>
      </c>
      <c r="P70" s="8">
        <f t="shared" si="2"/>
        <v>42.441000000000003</v>
      </c>
      <c r="R70" s="6"/>
      <c r="T70" s="6"/>
      <c r="V70" s="6"/>
      <c r="X70" s="6"/>
      <c r="Z70" s="6"/>
      <c r="AB70" s="6"/>
      <c r="AD70" s="8"/>
    </row>
    <row r="71" spans="1:30" x14ac:dyDescent="0.3">
      <c r="A71" s="6">
        <v>700</v>
      </c>
      <c r="B71" s="6">
        <v>6</v>
      </c>
      <c r="C71" s="6">
        <v>17</v>
      </c>
      <c r="D71" s="6">
        <v>461</v>
      </c>
      <c r="E71" s="6">
        <v>0.34</v>
      </c>
      <c r="F71" s="6">
        <v>0.26</v>
      </c>
      <c r="G71" s="6">
        <v>49.11</v>
      </c>
      <c r="H71" s="6">
        <v>92</v>
      </c>
      <c r="I71" s="6">
        <v>139.19999999999999</v>
      </c>
      <c r="J71" s="6">
        <v>69</v>
      </c>
      <c r="K71" s="6">
        <v>3.0000000000000001E-3</v>
      </c>
      <c r="L71" s="6">
        <v>95</v>
      </c>
      <c r="M71" s="6">
        <v>366</v>
      </c>
      <c r="N71" s="6">
        <v>63.250999999999998</v>
      </c>
      <c r="O71" s="6">
        <v>41.552999999999997</v>
      </c>
      <c r="P71" s="8">
        <f t="shared" si="2"/>
        <v>21.698</v>
      </c>
      <c r="R71" s="6"/>
      <c r="T71" s="6"/>
      <c r="V71" s="6"/>
      <c r="X71" s="6"/>
      <c r="Z71" s="6"/>
      <c r="AB71" s="6"/>
      <c r="AD71" s="8"/>
    </row>
    <row r="72" spans="1:30" x14ac:dyDescent="0.3">
      <c r="A72" s="6">
        <v>746</v>
      </c>
      <c r="B72" s="6">
        <v>5</v>
      </c>
      <c r="C72" s="6">
        <v>3.4</v>
      </c>
      <c r="D72" s="6">
        <v>316</v>
      </c>
      <c r="E72" s="6">
        <v>0.34</v>
      </c>
      <c r="F72" s="6">
        <v>0.82199999999999995</v>
      </c>
      <c r="G72" s="6">
        <v>217.96</v>
      </c>
      <c r="H72" s="6">
        <v>26</v>
      </c>
      <c r="I72" s="6">
        <v>70.658000000000001</v>
      </c>
      <c r="J72" s="6">
        <v>49.715000000000003</v>
      </c>
      <c r="K72" s="6">
        <v>2.0236999999999998E-3</v>
      </c>
      <c r="L72" s="6">
        <v>95</v>
      </c>
      <c r="M72" s="6">
        <v>221</v>
      </c>
      <c r="N72" s="6">
        <v>60.378</v>
      </c>
      <c r="O72" s="6">
        <v>32.671999999999997</v>
      </c>
      <c r="P72" s="8">
        <f t="shared" si="2"/>
        <v>27.706000000000003</v>
      </c>
      <c r="R72" s="6"/>
      <c r="T72" s="6"/>
      <c r="V72" s="6"/>
      <c r="X72" s="6"/>
      <c r="Z72" s="6"/>
      <c r="AB72" s="6"/>
      <c r="AD72" s="8"/>
    </row>
    <row r="73" spans="1:30" x14ac:dyDescent="0.3">
      <c r="A73" s="6">
        <v>715</v>
      </c>
      <c r="B73" s="6">
        <v>6</v>
      </c>
      <c r="C73" s="6">
        <v>3.5</v>
      </c>
      <c r="D73" s="6">
        <v>430</v>
      </c>
      <c r="E73" s="6">
        <v>0.34</v>
      </c>
      <c r="F73" s="6">
        <v>0.82199999999999995</v>
      </c>
      <c r="G73" s="6">
        <v>49.11</v>
      </c>
      <c r="H73" s="6">
        <v>80</v>
      </c>
      <c r="I73" s="6">
        <v>138.13</v>
      </c>
      <c r="J73" s="6">
        <v>67.876000000000005</v>
      </c>
      <c r="K73" s="6">
        <v>2.8896999999999998E-3</v>
      </c>
      <c r="L73" s="6">
        <v>95</v>
      </c>
      <c r="M73" s="6">
        <v>335</v>
      </c>
      <c r="N73" s="6">
        <v>70.852999999999994</v>
      </c>
      <c r="O73" s="6">
        <v>34.404000000000003</v>
      </c>
      <c r="P73" s="8">
        <f t="shared" si="2"/>
        <v>36.448999999999991</v>
      </c>
      <c r="R73" s="6"/>
      <c r="T73" s="6"/>
      <c r="V73" s="6"/>
      <c r="X73" s="6"/>
      <c r="Z73" s="6"/>
      <c r="AB73" s="6"/>
      <c r="AD73" s="8"/>
    </row>
    <row r="74" spans="1:30" x14ac:dyDescent="0.3">
      <c r="A74" s="6">
        <v>330</v>
      </c>
      <c r="B74" s="6">
        <v>3</v>
      </c>
      <c r="C74" s="6">
        <v>4</v>
      </c>
      <c r="D74" s="6">
        <v>153</v>
      </c>
      <c r="E74" s="6">
        <v>3.2</v>
      </c>
      <c r="F74" s="6">
        <v>2.94</v>
      </c>
      <c r="G74" s="6">
        <v>352</v>
      </c>
      <c r="H74" s="6">
        <v>7</v>
      </c>
      <c r="I74" s="6">
        <v>113</v>
      </c>
      <c r="J74" s="6">
        <v>12</v>
      </c>
      <c r="K74" s="6">
        <v>2E-3</v>
      </c>
      <c r="L74" s="6">
        <v>103</v>
      </c>
      <c r="M74" s="6">
        <v>50</v>
      </c>
      <c r="N74" s="6">
        <v>53.55</v>
      </c>
      <c r="O74" s="6">
        <v>21.864000000000001</v>
      </c>
      <c r="P74" s="8">
        <f t="shared" si="2"/>
        <v>31.685999999999996</v>
      </c>
      <c r="R74" s="6"/>
      <c r="T74" s="6"/>
      <c r="V74" s="6"/>
      <c r="X74" s="6"/>
      <c r="Z74" s="6"/>
      <c r="AB74" s="6"/>
      <c r="AD74" s="8"/>
    </row>
    <row r="75" spans="1:30" x14ac:dyDescent="0.3">
      <c r="A75" s="6">
        <v>230</v>
      </c>
      <c r="B75" s="6">
        <v>3</v>
      </c>
      <c r="C75" s="6">
        <v>6</v>
      </c>
      <c r="D75" s="6">
        <v>157</v>
      </c>
      <c r="E75" s="6">
        <v>4</v>
      </c>
      <c r="F75" s="6">
        <v>2.94</v>
      </c>
      <c r="G75" s="6">
        <v>155</v>
      </c>
      <c r="H75" s="6">
        <v>10</v>
      </c>
      <c r="I75" s="6">
        <v>71</v>
      </c>
      <c r="J75" s="6">
        <v>12</v>
      </c>
      <c r="K75" s="6">
        <v>3.5000000000000001E-3</v>
      </c>
      <c r="L75" s="6">
        <v>57</v>
      </c>
      <c r="M75" s="6">
        <v>100</v>
      </c>
      <c r="N75" s="6">
        <v>15.802</v>
      </c>
      <c r="O75" s="6">
        <v>12.843</v>
      </c>
      <c r="P75" s="8">
        <f t="shared" si="2"/>
        <v>2.9589999999999996</v>
      </c>
      <c r="R75" s="6"/>
      <c r="T75" s="6"/>
      <c r="V75" s="6"/>
      <c r="X75" s="6"/>
      <c r="Z75" s="6"/>
      <c r="AB75" s="6"/>
      <c r="AD75" s="8"/>
    </row>
    <row r="76" spans="1:30" x14ac:dyDescent="0.3">
      <c r="A76" s="6">
        <v>523</v>
      </c>
      <c r="B76" s="6">
        <v>9</v>
      </c>
      <c r="C76" s="6">
        <v>7</v>
      </c>
      <c r="D76" s="6">
        <v>160</v>
      </c>
      <c r="E76" s="6">
        <v>1.1000000000000001</v>
      </c>
      <c r="F76" s="6">
        <v>2.94</v>
      </c>
      <c r="G76" s="6">
        <v>137</v>
      </c>
      <c r="H76" s="6">
        <v>10</v>
      </c>
      <c r="I76" s="6">
        <v>70</v>
      </c>
      <c r="J76" s="6">
        <v>15</v>
      </c>
      <c r="K76" s="6">
        <v>2.7000000000000001E-3</v>
      </c>
      <c r="L76" s="6">
        <v>105</v>
      </c>
      <c r="M76" s="6">
        <v>55</v>
      </c>
      <c r="N76" s="6">
        <v>137.322</v>
      </c>
      <c r="O76" s="6">
        <v>32.054000000000002</v>
      </c>
      <c r="P76" s="8">
        <f t="shared" si="2"/>
        <v>105.268</v>
      </c>
      <c r="R76" s="6"/>
      <c r="T76" s="6"/>
      <c r="V76" s="6"/>
      <c r="X76" s="6"/>
      <c r="Z76" s="6"/>
      <c r="AB76" s="6"/>
      <c r="AD76" s="8"/>
    </row>
    <row r="77" spans="1:30" x14ac:dyDescent="0.3">
      <c r="A77" s="6">
        <v>310</v>
      </c>
      <c r="B77" s="6">
        <v>3</v>
      </c>
      <c r="C77" s="6">
        <v>3</v>
      </c>
      <c r="D77" s="6">
        <v>157</v>
      </c>
      <c r="E77" s="6">
        <v>4.5</v>
      </c>
      <c r="F77" s="6">
        <v>2.94</v>
      </c>
      <c r="G77" s="6">
        <v>293</v>
      </c>
      <c r="H77" s="6">
        <v>21</v>
      </c>
      <c r="I77" s="6">
        <v>106</v>
      </c>
      <c r="J77" s="6">
        <v>21</v>
      </c>
      <c r="K77" s="6">
        <v>3.0000000000000001E-3</v>
      </c>
      <c r="L77" s="6">
        <v>74</v>
      </c>
      <c r="M77" s="6">
        <v>83</v>
      </c>
      <c r="N77" s="6">
        <v>74.263999999999996</v>
      </c>
      <c r="O77" s="6">
        <v>9.9710000000000001</v>
      </c>
      <c r="P77" s="8">
        <f t="shared" si="2"/>
        <v>64.292999999999992</v>
      </c>
      <c r="R77" s="6"/>
      <c r="T77" s="6"/>
      <c r="V77" s="6"/>
      <c r="X77" s="6"/>
      <c r="Z77" s="6"/>
      <c r="AB77" s="6"/>
      <c r="AD77" s="8"/>
    </row>
    <row r="78" spans="1:30" x14ac:dyDescent="0.3">
      <c r="A78" s="6">
        <v>350</v>
      </c>
      <c r="B78" s="6">
        <v>3</v>
      </c>
      <c r="C78" s="6">
        <v>4</v>
      </c>
      <c r="D78" s="6">
        <v>151</v>
      </c>
      <c r="E78" s="6">
        <v>3</v>
      </c>
      <c r="F78" s="6">
        <v>2.94</v>
      </c>
      <c r="G78" s="6">
        <v>78</v>
      </c>
      <c r="H78" s="6">
        <v>5</v>
      </c>
      <c r="I78" s="6">
        <v>56</v>
      </c>
      <c r="J78" s="6">
        <v>12</v>
      </c>
      <c r="K78" s="6">
        <v>1.9E-3</v>
      </c>
      <c r="L78" s="6">
        <v>80</v>
      </c>
      <c r="M78" s="6">
        <v>71</v>
      </c>
      <c r="N78" s="6">
        <v>65.114000000000004</v>
      </c>
      <c r="O78" s="6">
        <v>20.933</v>
      </c>
      <c r="P78" s="8">
        <f t="shared" si="2"/>
        <v>44.181000000000004</v>
      </c>
      <c r="R78" s="6"/>
      <c r="T78" s="6"/>
      <c r="V78" s="6"/>
      <c r="X78" s="6"/>
      <c r="Z78" s="6"/>
      <c r="AB78" s="6"/>
      <c r="AD78" s="8"/>
    </row>
    <row r="79" spans="1:30" x14ac:dyDescent="0.3">
      <c r="A79" s="6">
        <v>180</v>
      </c>
      <c r="B79" s="6">
        <v>3</v>
      </c>
      <c r="C79" s="6">
        <v>6</v>
      </c>
      <c r="D79" s="6">
        <v>157</v>
      </c>
      <c r="E79" s="6">
        <v>2.1</v>
      </c>
      <c r="F79" s="6">
        <v>2.94</v>
      </c>
      <c r="G79" s="6">
        <v>299</v>
      </c>
      <c r="H79" s="6">
        <v>5</v>
      </c>
      <c r="I79" s="6">
        <v>54</v>
      </c>
      <c r="J79" s="6">
        <v>10</v>
      </c>
      <c r="K79" s="6">
        <v>2.2000000000000001E-3</v>
      </c>
      <c r="L79" s="6">
        <v>103</v>
      </c>
      <c r="M79" s="6">
        <v>54</v>
      </c>
      <c r="N79" s="6">
        <v>33.375999999999998</v>
      </c>
      <c r="O79" s="6">
        <v>14.574</v>
      </c>
      <c r="P79" s="8">
        <f t="shared" si="2"/>
        <v>18.802</v>
      </c>
      <c r="R79" s="6"/>
      <c r="T79" s="6"/>
      <c r="V79" s="6"/>
      <c r="X79" s="6"/>
      <c r="Z79" s="6"/>
      <c r="AB79" s="6"/>
      <c r="AD79" s="8"/>
    </row>
    <row r="80" spans="1:30" x14ac:dyDescent="0.3">
      <c r="A80" s="6">
        <v>326</v>
      </c>
      <c r="B80" s="6">
        <v>3</v>
      </c>
      <c r="C80" s="6">
        <v>5</v>
      </c>
      <c r="D80" s="6">
        <v>163</v>
      </c>
      <c r="E80" s="6">
        <v>3.5</v>
      </c>
      <c r="F80" s="6">
        <v>2.94</v>
      </c>
      <c r="G80" s="6">
        <v>269</v>
      </c>
      <c r="H80" s="6">
        <v>5</v>
      </c>
      <c r="I80" s="6">
        <v>54</v>
      </c>
      <c r="J80" s="6">
        <v>13</v>
      </c>
      <c r="K80" s="6">
        <v>1.5E-3</v>
      </c>
      <c r="L80" s="6">
        <v>101</v>
      </c>
      <c r="M80" s="6">
        <v>62</v>
      </c>
      <c r="N80" s="6">
        <v>41.317999999999998</v>
      </c>
      <c r="O80" s="6">
        <v>3.665</v>
      </c>
      <c r="P80" s="8">
        <f t="shared" si="2"/>
        <v>37.652999999999999</v>
      </c>
      <c r="R80" s="6"/>
      <c r="T80" s="6"/>
      <c r="V80" s="6"/>
      <c r="X80" s="6"/>
      <c r="Z80" s="6"/>
      <c r="AB80" s="6"/>
      <c r="AD80" s="8"/>
    </row>
    <row r="81" spans="1:30" x14ac:dyDescent="0.3">
      <c r="A81" s="6">
        <v>190</v>
      </c>
      <c r="B81" s="6">
        <v>3</v>
      </c>
      <c r="C81" s="6">
        <v>5</v>
      </c>
      <c r="D81" s="6">
        <v>123</v>
      </c>
      <c r="E81" s="6">
        <v>5</v>
      </c>
      <c r="F81" s="6">
        <v>2.94</v>
      </c>
      <c r="G81" s="6">
        <v>155</v>
      </c>
      <c r="H81" s="6">
        <v>10</v>
      </c>
      <c r="I81" s="6">
        <v>73</v>
      </c>
      <c r="J81" s="6">
        <v>11</v>
      </c>
      <c r="K81" s="6">
        <v>3.5000000000000001E-3</v>
      </c>
      <c r="L81" s="6">
        <v>72</v>
      </c>
      <c r="M81" s="6">
        <v>51</v>
      </c>
      <c r="N81" s="6">
        <v>9.1969999999999992</v>
      </c>
      <c r="O81" s="6">
        <v>8.0079999999999991</v>
      </c>
      <c r="P81" s="8">
        <f t="shared" si="2"/>
        <v>1.1890000000000001</v>
      </c>
      <c r="R81" s="6"/>
      <c r="T81" s="6"/>
      <c r="V81" s="6"/>
      <c r="X81" s="6"/>
      <c r="Z81" s="6"/>
      <c r="AB81" s="6"/>
      <c r="AD81" s="8"/>
    </row>
    <row r="82" spans="1:30" x14ac:dyDescent="0.3">
      <c r="A82" s="6">
        <v>310</v>
      </c>
      <c r="B82" s="6">
        <v>3</v>
      </c>
      <c r="C82" s="6">
        <v>16</v>
      </c>
      <c r="D82" s="6">
        <v>160</v>
      </c>
      <c r="E82" s="6">
        <v>6.1</v>
      </c>
      <c r="F82" s="6">
        <v>2.94</v>
      </c>
      <c r="G82" s="6">
        <v>53</v>
      </c>
      <c r="H82" s="6">
        <v>5</v>
      </c>
      <c r="I82" s="6">
        <v>64</v>
      </c>
      <c r="J82" s="6">
        <v>11</v>
      </c>
      <c r="K82" s="6">
        <v>2.5000000000000001E-3</v>
      </c>
      <c r="L82" s="6">
        <v>129</v>
      </c>
      <c r="M82" s="6">
        <v>31</v>
      </c>
      <c r="N82" s="6">
        <v>43.326000000000001</v>
      </c>
      <c r="O82" s="6">
        <v>33.582999999999998</v>
      </c>
      <c r="P82" s="8">
        <f t="shared" si="2"/>
        <v>9.7430000000000021</v>
      </c>
      <c r="R82" s="6"/>
      <c r="T82" s="6"/>
      <c r="V82" s="6"/>
      <c r="X82" s="6"/>
      <c r="Z82" s="6"/>
      <c r="AB82" s="6"/>
      <c r="AD82" s="8"/>
    </row>
    <row r="83" spans="1:30" x14ac:dyDescent="0.3">
      <c r="A83" s="6">
        <v>230</v>
      </c>
      <c r="B83" s="6">
        <v>4</v>
      </c>
      <c r="C83" s="6">
        <v>4</v>
      </c>
      <c r="D83" s="6">
        <v>150</v>
      </c>
      <c r="E83" s="6">
        <v>10</v>
      </c>
      <c r="F83" s="6">
        <v>2.94</v>
      </c>
      <c r="G83" s="6">
        <v>238</v>
      </c>
      <c r="H83" s="6">
        <v>5</v>
      </c>
      <c r="I83" s="6">
        <v>67</v>
      </c>
      <c r="J83" s="6">
        <v>16</v>
      </c>
      <c r="K83" s="6">
        <v>1.4E-3</v>
      </c>
      <c r="L83" s="6">
        <v>61</v>
      </c>
      <c r="M83" s="6">
        <v>89</v>
      </c>
      <c r="N83" s="6">
        <v>74.39</v>
      </c>
      <c r="O83" s="6">
        <v>42.036999999999999</v>
      </c>
      <c r="P83" s="8">
        <f t="shared" si="2"/>
        <v>32.353000000000002</v>
      </c>
      <c r="R83" s="6"/>
      <c r="T83" s="6"/>
      <c r="V83" s="6"/>
      <c r="X83" s="6"/>
      <c r="Z83" s="6"/>
      <c r="AB83" s="6"/>
      <c r="AD83" s="8"/>
    </row>
    <row r="84" spans="1:30" x14ac:dyDescent="0.3">
      <c r="A84" s="6">
        <v>289</v>
      </c>
      <c r="B84" s="6">
        <v>3</v>
      </c>
      <c r="C84" s="6">
        <v>6</v>
      </c>
      <c r="D84" s="6">
        <v>148</v>
      </c>
      <c r="E84" s="6">
        <v>5</v>
      </c>
      <c r="F84" s="6">
        <v>2.94</v>
      </c>
      <c r="G84" s="6">
        <v>269</v>
      </c>
      <c r="H84" s="6">
        <v>10</v>
      </c>
      <c r="I84" s="6">
        <v>71</v>
      </c>
      <c r="J84" s="6">
        <v>19</v>
      </c>
      <c r="K84" s="6">
        <v>2E-3</v>
      </c>
      <c r="L84" s="6">
        <v>68</v>
      </c>
      <c r="M84" s="6">
        <v>80</v>
      </c>
      <c r="N84" s="6">
        <v>132.749</v>
      </c>
      <c r="O84" s="6">
        <v>42.877000000000002</v>
      </c>
      <c r="P84" s="8">
        <f t="shared" si="2"/>
        <v>89.871999999999986</v>
      </c>
      <c r="R84" s="6"/>
      <c r="T84" s="6"/>
      <c r="V84" s="6"/>
      <c r="X84" s="6"/>
      <c r="Z84" s="6"/>
      <c r="AB84" s="6"/>
      <c r="AD84" s="8"/>
    </row>
    <row r="85" spans="1:30" x14ac:dyDescent="0.3">
      <c r="A85" s="6">
        <v>346</v>
      </c>
      <c r="B85" s="6">
        <v>3</v>
      </c>
      <c r="C85" s="6">
        <v>7</v>
      </c>
      <c r="D85" s="6">
        <v>165</v>
      </c>
      <c r="E85" s="6">
        <v>5</v>
      </c>
      <c r="F85" s="6">
        <v>2.94</v>
      </c>
      <c r="G85" s="6">
        <v>352</v>
      </c>
      <c r="H85" s="6">
        <v>5</v>
      </c>
      <c r="I85" s="6">
        <v>37</v>
      </c>
      <c r="J85" s="6">
        <v>19</v>
      </c>
      <c r="K85" s="6">
        <v>2E-3</v>
      </c>
      <c r="L85" s="6">
        <v>55</v>
      </c>
      <c r="M85" s="6">
        <v>110</v>
      </c>
      <c r="N85" s="6">
        <v>25.661000000000001</v>
      </c>
      <c r="O85" s="6">
        <v>4.9050000000000002</v>
      </c>
      <c r="P85" s="8">
        <f t="shared" si="2"/>
        <v>20.756</v>
      </c>
      <c r="R85" s="6"/>
      <c r="T85" s="6"/>
      <c r="V85" s="6"/>
      <c r="X85" s="6"/>
      <c r="Z85" s="6"/>
      <c r="AB85" s="6"/>
      <c r="AD85" s="8"/>
    </row>
    <row r="86" spans="1:30" x14ac:dyDescent="0.3">
      <c r="A86" s="6">
        <v>420</v>
      </c>
      <c r="B86" s="6">
        <v>10</v>
      </c>
      <c r="C86" s="6">
        <v>12</v>
      </c>
      <c r="D86" s="6">
        <v>167</v>
      </c>
      <c r="E86" s="6">
        <v>1.3</v>
      </c>
      <c r="F86" s="6">
        <v>2.94</v>
      </c>
      <c r="G86" s="6">
        <v>214</v>
      </c>
      <c r="H86" s="6">
        <v>5</v>
      </c>
      <c r="I86" s="6">
        <v>45</v>
      </c>
      <c r="J86" s="6">
        <v>17</v>
      </c>
      <c r="K86" s="6">
        <v>1.6999999999999999E-3</v>
      </c>
      <c r="L86" s="6">
        <v>113</v>
      </c>
      <c r="M86" s="6">
        <v>54</v>
      </c>
      <c r="N86" s="6">
        <v>155.76400000000001</v>
      </c>
      <c r="O86" s="6">
        <v>50.914000000000001</v>
      </c>
      <c r="P86" s="8">
        <f t="shared" si="2"/>
        <v>104.85000000000001</v>
      </c>
      <c r="R86" s="6"/>
      <c r="T86" s="6"/>
      <c r="V86" s="6"/>
      <c r="X86" s="6"/>
      <c r="Z86" s="6"/>
      <c r="AB86" s="6"/>
      <c r="AD86" s="8"/>
    </row>
    <row r="87" spans="1:30" x14ac:dyDescent="0.3">
      <c r="A87" s="6">
        <v>309</v>
      </c>
      <c r="B87" s="6">
        <v>3</v>
      </c>
      <c r="C87" s="6">
        <v>10</v>
      </c>
      <c r="D87" s="6">
        <v>126</v>
      </c>
      <c r="E87" s="6">
        <v>4</v>
      </c>
      <c r="F87" s="6">
        <v>2.94</v>
      </c>
      <c r="G87" s="6">
        <v>220</v>
      </c>
      <c r="H87" s="6">
        <v>10</v>
      </c>
      <c r="I87" s="6">
        <v>92</v>
      </c>
      <c r="J87" s="6">
        <v>14</v>
      </c>
      <c r="K87" s="6">
        <v>1.6999999999999999E-3</v>
      </c>
      <c r="L87" s="6">
        <v>84</v>
      </c>
      <c r="M87" s="6">
        <v>42</v>
      </c>
      <c r="N87" s="6">
        <v>67.215000000000003</v>
      </c>
      <c r="O87" s="6">
        <v>14.561</v>
      </c>
      <c r="P87" s="8">
        <f t="shared" si="2"/>
        <v>52.654000000000003</v>
      </c>
      <c r="R87" s="6"/>
      <c r="T87" s="6"/>
      <c r="V87" s="6"/>
      <c r="X87" s="6"/>
      <c r="Z87" s="6"/>
      <c r="AB87" s="6"/>
      <c r="AD87" s="8"/>
    </row>
    <row r="88" spans="1:30" x14ac:dyDescent="0.3">
      <c r="A88" s="6">
        <v>330</v>
      </c>
      <c r="B88" s="6">
        <v>3</v>
      </c>
      <c r="C88" s="6">
        <v>4</v>
      </c>
      <c r="D88" s="6">
        <v>155</v>
      </c>
      <c r="E88" s="6">
        <v>3.5</v>
      </c>
      <c r="F88" s="6">
        <v>2.94</v>
      </c>
      <c r="G88" s="6">
        <v>137</v>
      </c>
      <c r="H88" s="6">
        <v>15</v>
      </c>
      <c r="I88" s="6">
        <v>96</v>
      </c>
      <c r="J88" s="6">
        <v>11</v>
      </c>
      <c r="K88" s="6">
        <v>5.0999999999999995E-3</v>
      </c>
      <c r="L88" s="6">
        <v>81</v>
      </c>
      <c r="M88" s="6">
        <v>74</v>
      </c>
      <c r="N88" s="6">
        <v>22.873000000000001</v>
      </c>
      <c r="O88" s="6">
        <v>17.529</v>
      </c>
      <c r="P88" s="8">
        <f t="shared" si="2"/>
        <v>5.3440000000000012</v>
      </c>
      <c r="R88" s="6"/>
      <c r="T88" s="6"/>
      <c r="V88" s="6"/>
      <c r="X88" s="6"/>
      <c r="Z88" s="6"/>
      <c r="AB88" s="6"/>
      <c r="AD88" s="8"/>
    </row>
    <row r="89" spans="1:30" x14ac:dyDescent="0.3">
      <c r="A89" s="6">
        <v>250</v>
      </c>
      <c r="B89" s="6">
        <v>3</v>
      </c>
      <c r="C89" s="6">
        <v>6</v>
      </c>
      <c r="D89" s="6">
        <v>155</v>
      </c>
      <c r="E89" s="6">
        <v>2.2999999999999998</v>
      </c>
      <c r="F89" s="6">
        <v>2.94</v>
      </c>
      <c r="G89" s="6">
        <v>299</v>
      </c>
      <c r="H89" s="6">
        <v>5</v>
      </c>
      <c r="I89" s="6">
        <v>37</v>
      </c>
      <c r="J89" s="6">
        <v>16</v>
      </c>
      <c r="K89" s="6">
        <v>2.2000000000000001E-3</v>
      </c>
      <c r="L89" s="6">
        <v>56</v>
      </c>
      <c r="M89" s="6">
        <v>99</v>
      </c>
      <c r="N89" s="6">
        <v>21.030999999999999</v>
      </c>
      <c r="O89" s="6">
        <v>6.3049999999999997</v>
      </c>
      <c r="P89" s="8">
        <f t="shared" si="2"/>
        <v>14.725999999999999</v>
      </c>
      <c r="R89" s="6"/>
      <c r="T89" s="6"/>
      <c r="V89" s="6"/>
      <c r="X89" s="6"/>
      <c r="Z89" s="6"/>
      <c r="AB89" s="6"/>
      <c r="AD89" s="8"/>
    </row>
    <row r="90" spans="1:30" x14ac:dyDescent="0.3">
      <c r="A90" s="6">
        <v>360</v>
      </c>
      <c r="B90" s="6">
        <v>3</v>
      </c>
      <c r="C90" s="6">
        <v>10</v>
      </c>
      <c r="D90" s="6">
        <v>160</v>
      </c>
      <c r="E90" s="6">
        <v>4</v>
      </c>
      <c r="F90" s="6">
        <v>2.94</v>
      </c>
      <c r="G90" s="6">
        <v>220</v>
      </c>
      <c r="H90" s="6">
        <v>10</v>
      </c>
      <c r="I90" s="6">
        <v>77</v>
      </c>
      <c r="J90" s="6">
        <v>17</v>
      </c>
      <c r="K90" s="6">
        <v>2.2000000000000001E-3</v>
      </c>
      <c r="L90" s="6">
        <v>97</v>
      </c>
      <c r="M90" s="6">
        <v>63</v>
      </c>
      <c r="N90" s="6">
        <v>96.254999999999995</v>
      </c>
      <c r="O90" s="6">
        <v>45.454999999999998</v>
      </c>
      <c r="P90" s="8">
        <f t="shared" si="2"/>
        <v>50.8</v>
      </c>
      <c r="R90" s="6"/>
      <c r="T90" s="6"/>
      <c r="V90" s="6"/>
      <c r="X90" s="6"/>
      <c r="Z90" s="6"/>
      <c r="AB90" s="6"/>
      <c r="AD90" s="8"/>
    </row>
    <row r="91" spans="1:30" x14ac:dyDescent="0.3">
      <c r="A91" s="6">
        <v>300</v>
      </c>
      <c r="B91" s="6">
        <v>4</v>
      </c>
      <c r="C91" s="6">
        <v>3</v>
      </c>
      <c r="D91" s="6">
        <v>160</v>
      </c>
      <c r="E91" s="6">
        <v>4</v>
      </c>
      <c r="F91" s="6">
        <v>2.94</v>
      </c>
      <c r="G91" s="6">
        <v>115</v>
      </c>
      <c r="H91" s="6">
        <v>5</v>
      </c>
      <c r="I91" s="6">
        <v>45</v>
      </c>
      <c r="J91" s="6">
        <v>14</v>
      </c>
      <c r="K91" s="6">
        <v>2.1000000000000003E-3</v>
      </c>
      <c r="L91" s="6">
        <v>64</v>
      </c>
      <c r="M91" s="6">
        <v>96</v>
      </c>
      <c r="N91" s="6">
        <v>34.765999999999998</v>
      </c>
      <c r="O91" s="6">
        <v>18.919</v>
      </c>
      <c r="P91" s="8">
        <f t="shared" si="2"/>
        <v>15.846999999999998</v>
      </c>
      <c r="R91" s="6"/>
      <c r="T91" s="6"/>
      <c r="V91" s="6"/>
      <c r="X91" s="6"/>
      <c r="Z91" s="6"/>
      <c r="AB91" s="6"/>
      <c r="AD91" s="8"/>
    </row>
    <row r="92" spans="1:30" x14ac:dyDescent="0.3">
      <c r="A92" s="6">
        <v>270</v>
      </c>
      <c r="B92" s="6">
        <v>3</v>
      </c>
      <c r="C92" s="6">
        <v>6</v>
      </c>
      <c r="D92" s="6">
        <v>148</v>
      </c>
      <c r="E92" s="6">
        <v>2.4</v>
      </c>
      <c r="F92" s="6">
        <v>2.94</v>
      </c>
      <c r="G92" s="6">
        <v>256</v>
      </c>
      <c r="H92" s="6">
        <v>7</v>
      </c>
      <c r="I92" s="6">
        <v>40</v>
      </c>
      <c r="J92" s="6">
        <v>17</v>
      </c>
      <c r="K92" s="6">
        <v>2.5000000000000001E-3</v>
      </c>
      <c r="L92" s="6">
        <v>94</v>
      </c>
      <c r="M92" s="6">
        <v>54</v>
      </c>
      <c r="N92" s="6">
        <v>50.927999999999997</v>
      </c>
      <c r="O92" s="6">
        <v>15.417</v>
      </c>
      <c r="P92" s="8">
        <f t="shared" si="2"/>
        <v>35.510999999999996</v>
      </c>
      <c r="R92" s="6"/>
      <c r="T92" s="6"/>
      <c r="V92" s="6"/>
      <c r="X92" s="6"/>
      <c r="Z92" s="6"/>
      <c r="AB92" s="6"/>
      <c r="AD92" s="8"/>
    </row>
    <row r="93" spans="1:30" x14ac:dyDescent="0.3">
      <c r="A93" s="6">
        <v>200</v>
      </c>
      <c r="B93" s="6">
        <v>3</v>
      </c>
      <c r="C93" s="6">
        <v>3</v>
      </c>
      <c r="D93" s="6">
        <v>156</v>
      </c>
      <c r="E93" s="6">
        <v>4</v>
      </c>
      <c r="F93" s="6">
        <v>2.94</v>
      </c>
      <c r="G93" s="6">
        <v>256</v>
      </c>
      <c r="H93" s="6">
        <v>7</v>
      </c>
      <c r="I93" s="6">
        <v>53</v>
      </c>
      <c r="J93" s="6">
        <v>19</v>
      </c>
      <c r="K93" s="6">
        <v>1.8E-3</v>
      </c>
      <c r="L93" s="6">
        <v>81</v>
      </c>
      <c r="M93" s="6">
        <v>75</v>
      </c>
      <c r="N93" s="6">
        <v>75.986999999999995</v>
      </c>
      <c r="O93" s="6">
        <v>18.495000000000001</v>
      </c>
      <c r="P93" s="8">
        <f t="shared" si="2"/>
        <v>57.49199999999999</v>
      </c>
      <c r="R93" s="6"/>
      <c r="T93" s="6"/>
      <c r="V93" s="6"/>
      <c r="X93" s="6"/>
      <c r="Z93" s="6"/>
      <c r="AB93" s="6"/>
      <c r="AD93" s="8"/>
    </row>
    <row r="94" spans="1:30" x14ac:dyDescent="0.3">
      <c r="A94" s="6">
        <v>296</v>
      </c>
      <c r="B94" s="6">
        <v>4</v>
      </c>
      <c r="C94" s="6">
        <v>8</v>
      </c>
      <c r="D94" s="6">
        <v>135</v>
      </c>
      <c r="E94" s="6">
        <v>4.7</v>
      </c>
      <c r="F94" s="6">
        <v>2.94</v>
      </c>
      <c r="G94" s="6">
        <v>284</v>
      </c>
      <c r="H94" s="6">
        <v>3</v>
      </c>
      <c r="I94" s="6">
        <v>46</v>
      </c>
      <c r="J94" s="6">
        <v>16</v>
      </c>
      <c r="K94" s="6">
        <v>1E-3</v>
      </c>
      <c r="L94" s="6">
        <v>51</v>
      </c>
      <c r="M94" s="6">
        <v>84</v>
      </c>
      <c r="N94" s="6">
        <v>20.556000000000001</v>
      </c>
      <c r="O94" s="6">
        <v>6.1470000000000002</v>
      </c>
      <c r="P94" s="8">
        <f t="shared" si="2"/>
        <v>14.409000000000001</v>
      </c>
      <c r="R94" s="6"/>
      <c r="T94" s="6"/>
      <c r="V94" s="6"/>
      <c r="X94" s="6"/>
      <c r="Z94" s="6"/>
      <c r="AB94" s="6"/>
      <c r="AD94" s="8"/>
    </row>
    <row r="95" spans="1:30" x14ac:dyDescent="0.3">
      <c r="A95" s="6">
        <v>270</v>
      </c>
      <c r="B95" s="6">
        <v>3</v>
      </c>
      <c r="C95" s="6">
        <v>4</v>
      </c>
      <c r="D95" s="6">
        <v>155</v>
      </c>
      <c r="E95" s="6">
        <v>4.5</v>
      </c>
      <c r="F95" s="6">
        <v>2.94</v>
      </c>
      <c r="G95" s="6">
        <v>17</v>
      </c>
      <c r="H95" s="6">
        <v>7</v>
      </c>
      <c r="I95" s="6">
        <v>58</v>
      </c>
      <c r="J95" s="6">
        <v>10</v>
      </c>
      <c r="K95" s="6">
        <v>3.3E-3</v>
      </c>
      <c r="L95" s="6">
        <v>90</v>
      </c>
      <c r="M95" s="6">
        <v>65</v>
      </c>
      <c r="N95" s="6">
        <v>17.385999999999999</v>
      </c>
      <c r="O95" s="6">
        <v>13.582000000000001</v>
      </c>
      <c r="P95" s="8">
        <f t="shared" si="2"/>
        <v>3.8039999999999985</v>
      </c>
      <c r="R95" s="6"/>
      <c r="T95" s="6"/>
      <c r="V95" s="6"/>
      <c r="X95" s="6"/>
      <c r="Z95" s="6"/>
      <c r="AB95" s="6"/>
      <c r="AD95" s="8"/>
    </row>
    <row r="96" spans="1:30" x14ac:dyDescent="0.3">
      <c r="A96" s="6">
        <v>310</v>
      </c>
      <c r="B96" s="6">
        <v>3</v>
      </c>
      <c r="C96" s="6">
        <v>4</v>
      </c>
      <c r="D96" s="6">
        <v>165</v>
      </c>
      <c r="E96" s="6">
        <v>2</v>
      </c>
      <c r="F96" s="6">
        <v>2.94</v>
      </c>
      <c r="G96" s="6">
        <v>22</v>
      </c>
      <c r="H96" s="6">
        <v>17</v>
      </c>
      <c r="I96" s="6">
        <v>86</v>
      </c>
      <c r="J96" s="6">
        <v>15</v>
      </c>
      <c r="K96" s="6">
        <v>3.3999999999999998E-3</v>
      </c>
      <c r="L96" s="6">
        <v>51</v>
      </c>
      <c r="M96" s="6">
        <v>114</v>
      </c>
      <c r="N96" s="6">
        <v>24.940999999999999</v>
      </c>
      <c r="O96" s="6">
        <v>19.356999999999999</v>
      </c>
      <c r="P96" s="8">
        <f t="shared" si="2"/>
        <v>5.5839999999999996</v>
      </c>
      <c r="R96" s="6"/>
      <c r="T96" s="6"/>
      <c r="V96" s="6"/>
      <c r="X96" s="6"/>
      <c r="Z96" s="6"/>
      <c r="AB96" s="6"/>
      <c r="AD96" s="8"/>
    </row>
    <row r="97" spans="1:30" x14ac:dyDescent="0.3">
      <c r="A97" s="6">
        <v>230</v>
      </c>
      <c r="B97" s="6">
        <v>3</v>
      </c>
      <c r="C97" s="6">
        <v>5</v>
      </c>
      <c r="D97" s="6">
        <v>164</v>
      </c>
      <c r="E97" s="6">
        <v>2.5</v>
      </c>
      <c r="F97" s="6">
        <v>2.94</v>
      </c>
      <c r="G97" s="6">
        <v>256</v>
      </c>
      <c r="H97" s="6">
        <v>7</v>
      </c>
      <c r="I97" s="6">
        <v>65</v>
      </c>
      <c r="J97" s="6">
        <v>14</v>
      </c>
      <c r="K97" s="6">
        <v>2E-3</v>
      </c>
      <c r="L97" s="6">
        <v>109</v>
      </c>
      <c r="M97" s="6">
        <v>55</v>
      </c>
      <c r="N97" s="6">
        <v>87.724000000000004</v>
      </c>
      <c r="O97" s="6">
        <v>27.88</v>
      </c>
      <c r="P97" s="8">
        <f t="shared" si="2"/>
        <v>59.844000000000008</v>
      </c>
      <c r="R97" s="6"/>
      <c r="T97" s="6"/>
      <c r="V97" s="6"/>
      <c r="X97" s="6"/>
      <c r="Z97" s="6"/>
      <c r="AB97" s="6"/>
      <c r="AD97" s="8"/>
    </row>
    <row r="98" spans="1:30" x14ac:dyDescent="0.3">
      <c r="A98" s="6">
        <v>330</v>
      </c>
      <c r="B98" s="6">
        <v>5</v>
      </c>
      <c r="C98" s="6">
        <v>7</v>
      </c>
      <c r="D98" s="6">
        <v>0</v>
      </c>
      <c r="E98" s="6">
        <v>5</v>
      </c>
      <c r="F98" s="6">
        <v>2.94</v>
      </c>
      <c r="G98" s="6">
        <v>117</v>
      </c>
      <c r="H98" s="6">
        <v>21</v>
      </c>
      <c r="I98" s="6">
        <v>81</v>
      </c>
      <c r="J98" s="6">
        <v>22</v>
      </c>
      <c r="K98" s="6">
        <v>3.2000000000000002E-3</v>
      </c>
      <c r="L98" s="6">
        <v>0</v>
      </c>
      <c r="M98" s="6">
        <v>0</v>
      </c>
      <c r="N98" s="6">
        <v>11.42</v>
      </c>
      <c r="O98" s="6">
        <v>4.9020000000000001</v>
      </c>
      <c r="P98" s="8">
        <f t="shared" ref="P98:P129" si="3">N98-O98</f>
        <v>6.5179999999999998</v>
      </c>
      <c r="R98" s="6"/>
      <c r="T98" s="6"/>
      <c r="V98" s="6"/>
      <c r="X98" s="6"/>
      <c r="Z98" s="6"/>
      <c r="AB98" s="6"/>
      <c r="AD98" s="8"/>
    </row>
    <row r="99" spans="1:30" x14ac:dyDescent="0.3">
      <c r="A99" s="6">
        <v>300</v>
      </c>
      <c r="B99" s="6">
        <v>3</v>
      </c>
      <c r="C99" s="6">
        <v>10</v>
      </c>
      <c r="D99" s="6">
        <v>149</v>
      </c>
      <c r="E99" s="6">
        <v>6.3</v>
      </c>
      <c r="F99" s="6">
        <v>2.94</v>
      </c>
      <c r="G99" s="6">
        <v>236</v>
      </c>
      <c r="H99" s="6">
        <v>10</v>
      </c>
      <c r="I99" s="6">
        <v>73</v>
      </c>
      <c r="J99" s="6">
        <v>18</v>
      </c>
      <c r="K99" s="6">
        <v>2E-3</v>
      </c>
      <c r="L99" s="6">
        <v>95</v>
      </c>
      <c r="M99" s="6">
        <v>54</v>
      </c>
      <c r="N99" s="6">
        <v>67.581000000000003</v>
      </c>
      <c r="O99" s="6">
        <v>4.6340000000000003</v>
      </c>
      <c r="P99" s="8">
        <f t="shared" si="3"/>
        <v>62.947000000000003</v>
      </c>
      <c r="R99" s="6"/>
      <c r="T99" s="6"/>
      <c r="V99" s="6"/>
      <c r="X99" s="6"/>
      <c r="Z99" s="6"/>
      <c r="AB99" s="6"/>
      <c r="AD99" s="8"/>
    </row>
    <row r="100" spans="1:30" x14ac:dyDescent="0.3">
      <c r="A100" s="6">
        <v>238</v>
      </c>
      <c r="B100" s="6">
        <v>3</v>
      </c>
      <c r="C100" s="6">
        <v>5</v>
      </c>
      <c r="D100" s="6">
        <v>170</v>
      </c>
      <c r="E100" s="6">
        <v>4.5999999999999996</v>
      </c>
      <c r="F100" s="6">
        <v>2.94</v>
      </c>
      <c r="G100" s="6">
        <v>0</v>
      </c>
      <c r="H100" s="6">
        <v>15</v>
      </c>
      <c r="I100" s="6">
        <v>91</v>
      </c>
      <c r="J100" s="6">
        <v>11</v>
      </c>
      <c r="K100" s="6">
        <v>4.4000000000000003E-3</v>
      </c>
      <c r="L100" s="6">
        <v>73</v>
      </c>
      <c r="M100" s="6">
        <v>97</v>
      </c>
      <c r="N100" s="6">
        <v>16.135000000000002</v>
      </c>
      <c r="O100" s="6">
        <v>14.263999999999999</v>
      </c>
      <c r="P100" s="8">
        <f t="shared" si="3"/>
        <v>1.8710000000000022</v>
      </c>
      <c r="R100" s="6"/>
      <c r="T100" s="6"/>
      <c r="V100" s="6"/>
      <c r="X100" s="6"/>
      <c r="Z100" s="6"/>
      <c r="AB100" s="6"/>
      <c r="AD100" s="8"/>
    </row>
    <row r="101" spans="1:30" x14ac:dyDescent="0.3">
      <c r="A101" s="6">
        <v>300</v>
      </c>
      <c r="B101" s="6">
        <v>3</v>
      </c>
      <c r="C101" s="6">
        <v>11</v>
      </c>
      <c r="D101" s="6">
        <v>160</v>
      </c>
      <c r="E101" s="6">
        <v>4</v>
      </c>
      <c r="F101" s="6">
        <v>2.94</v>
      </c>
      <c r="G101" s="6">
        <v>8</v>
      </c>
      <c r="H101" s="6">
        <v>10</v>
      </c>
      <c r="I101" s="6">
        <v>73</v>
      </c>
      <c r="J101" s="6">
        <v>18</v>
      </c>
      <c r="K101" s="6">
        <v>2.2000000000000001E-3</v>
      </c>
      <c r="L101" s="6">
        <v>98</v>
      </c>
      <c r="M101" s="6">
        <v>62</v>
      </c>
      <c r="N101" s="6">
        <v>111.973</v>
      </c>
      <c r="O101" s="6">
        <v>55.054000000000002</v>
      </c>
      <c r="P101" s="8">
        <f t="shared" si="3"/>
        <v>56.918999999999997</v>
      </c>
      <c r="R101" s="6"/>
      <c r="T101" s="6"/>
      <c r="V101" s="6"/>
      <c r="X101" s="6"/>
      <c r="Z101" s="6"/>
      <c r="AB101" s="6"/>
      <c r="AD101" s="8"/>
    </row>
    <row r="102" spans="1:30" x14ac:dyDescent="0.3">
      <c r="A102" s="6">
        <v>290</v>
      </c>
      <c r="B102" s="6">
        <v>3</v>
      </c>
      <c r="C102" s="6">
        <v>5</v>
      </c>
      <c r="D102" s="6">
        <v>150</v>
      </c>
      <c r="E102" s="6">
        <v>7</v>
      </c>
      <c r="F102" s="6">
        <v>2.94</v>
      </c>
      <c r="G102" s="6">
        <v>223</v>
      </c>
      <c r="H102" s="6">
        <v>5</v>
      </c>
      <c r="I102" s="6">
        <v>55</v>
      </c>
      <c r="J102" s="6">
        <v>13</v>
      </c>
      <c r="K102" s="6">
        <v>1.9E-3</v>
      </c>
      <c r="L102" s="6">
        <v>101</v>
      </c>
      <c r="M102" s="6">
        <v>49</v>
      </c>
      <c r="N102" s="6">
        <v>65.772000000000006</v>
      </c>
      <c r="O102" s="6">
        <v>7.47</v>
      </c>
      <c r="P102" s="8">
        <f t="shared" si="3"/>
        <v>58.302000000000007</v>
      </c>
      <c r="R102" s="6"/>
      <c r="T102" s="6"/>
      <c r="V102" s="6"/>
      <c r="X102" s="6"/>
      <c r="Z102" s="6"/>
      <c r="AB102" s="6"/>
      <c r="AD102" s="8"/>
    </row>
    <row r="103" spans="1:30" x14ac:dyDescent="0.3">
      <c r="A103" s="6">
        <v>304</v>
      </c>
      <c r="B103" s="6">
        <v>3</v>
      </c>
      <c r="C103" s="6">
        <v>6</v>
      </c>
      <c r="D103" s="6">
        <v>165</v>
      </c>
      <c r="E103" s="6">
        <v>3.4</v>
      </c>
      <c r="F103" s="6">
        <v>2.94</v>
      </c>
      <c r="G103" s="6">
        <v>78</v>
      </c>
      <c r="H103" s="6">
        <v>2</v>
      </c>
      <c r="I103" s="6">
        <v>57</v>
      </c>
      <c r="J103" s="6">
        <v>10</v>
      </c>
      <c r="K103" s="6">
        <v>1.2999999999999999E-3</v>
      </c>
      <c r="L103" s="6">
        <v>164</v>
      </c>
      <c r="M103" s="6">
        <v>1</v>
      </c>
      <c r="N103" s="6">
        <v>174.541</v>
      </c>
      <c r="O103" s="6">
        <v>7.1999999999999995E-2</v>
      </c>
      <c r="P103" s="8">
        <f t="shared" si="3"/>
        <v>174.46899999999999</v>
      </c>
      <c r="R103" s="6"/>
      <c r="T103" s="6"/>
      <c r="V103" s="6"/>
      <c r="X103" s="6"/>
      <c r="Z103" s="6"/>
      <c r="AB103" s="6"/>
      <c r="AD103" s="8"/>
    </row>
    <row r="104" spans="1:30" x14ac:dyDescent="0.3">
      <c r="A104" s="6">
        <v>266</v>
      </c>
      <c r="B104" s="6">
        <v>3</v>
      </c>
      <c r="C104" s="6">
        <v>7</v>
      </c>
      <c r="D104" s="6">
        <v>165</v>
      </c>
      <c r="E104" s="6">
        <v>2.7</v>
      </c>
      <c r="F104" s="6">
        <v>2.94</v>
      </c>
      <c r="G104" s="6">
        <v>64</v>
      </c>
      <c r="H104" s="6">
        <v>3</v>
      </c>
      <c r="I104" s="6">
        <v>32</v>
      </c>
      <c r="J104" s="6">
        <v>12</v>
      </c>
      <c r="K104" s="6">
        <v>2.1000000000000003E-3</v>
      </c>
      <c r="L104" s="6">
        <v>61</v>
      </c>
      <c r="M104" s="6">
        <v>104</v>
      </c>
      <c r="N104" s="6">
        <v>19.061</v>
      </c>
      <c r="O104" s="6">
        <v>10.816000000000001</v>
      </c>
      <c r="P104" s="8">
        <f t="shared" si="3"/>
        <v>8.2449999999999992</v>
      </c>
      <c r="R104" s="6"/>
      <c r="T104" s="6"/>
      <c r="V104" s="6"/>
      <c r="X104" s="6"/>
      <c r="Z104" s="6"/>
      <c r="AB104" s="6"/>
      <c r="AD104" s="8"/>
    </row>
    <row r="105" spans="1:30" x14ac:dyDescent="0.3">
      <c r="A105" s="6">
        <v>320</v>
      </c>
      <c r="B105" s="6">
        <v>3</v>
      </c>
      <c r="C105" s="6">
        <v>7</v>
      </c>
      <c r="D105" s="6">
        <v>155</v>
      </c>
      <c r="E105" s="6">
        <v>2.8</v>
      </c>
      <c r="F105" s="6">
        <v>2.94</v>
      </c>
      <c r="G105" s="6">
        <v>346</v>
      </c>
      <c r="H105" s="6">
        <v>15</v>
      </c>
      <c r="I105" s="6">
        <v>150</v>
      </c>
      <c r="J105" s="6">
        <v>9</v>
      </c>
      <c r="K105" s="6">
        <v>4.0000000000000001E-3</v>
      </c>
      <c r="L105" s="6">
        <v>79</v>
      </c>
      <c r="M105" s="6">
        <v>76</v>
      </c>
      <c r="N105" s="6">
        <v>33.628999999999998</v>
      </c>
      <c r="O105" s="6">
        <v>18.663</v>
      </c>
      <c r="P105" s="8">
        <f t="shared" si="3"/>
        <v>14.965999999999998</v>
      </c>
      <c r="R105" s="6"/>
      <c r="T105" s="6"/>
      <c r="V105" s="6"/>
      <c r="X105" s="6"/>
      <c r="Z105" s="6"/>
      <c r="AB105" s="6"/>
      <c r="AD105" s="8"/>
    </row>
    <row r="106" spans="1:30" x14ac:dyDescent="0.3">
      <c r="A106" s="6">
        <v>501</v>
      </c>
      <c r="B106" s="6">
        <v>3</v>
      </c>
      <c r="C106" s="6">
        <v>6</v>
      </c>
      <c r="D106" s="6">
        <v>0</v>
      </c>
      <c r="E106" s="6">
        <v>4.7</v>
      </c>
      <c r="F106" s="6">
        <v>2.94</v>
      </c>
      <c r="G106" s="6">
        <v>0</v>
      </c>
      <c r="H106" s="6">
        <v>15</v>
      </c>
      <c r="I106" s="6">
        <v>87</v>
      </c>
      <c r="J106" s="6">
        <v>13</v>
      </c>
      <c r="K106" s="6">
        <v>2E-3</v>
      </c>
      <c r="L106" s="6">
        <v>0</v>
      </c>
      <c r="M106" s="6">
        <v>0</v>
      </c>
      <c r="N106" s="6">
        <v>39.29</v>
      </c>
      <c r="O106" s="6">
        <v>31.132999999999999</v>
      </c>
      <c r="P106" s="8">
        <f t="shared" si="3"/>
        <v>8.157</v>
      </c>
      <c r="R106" s="6"/>
      <c r="T106" s="6"/>
      <c r="V106" s="6"/>
      <c r="X106" s="6"/>
      <c r="Z106" s="6"/>
      <c r="AB106" s="6"/>
      <c r="AD106" s="8"/>
    </row>
    <row r="107" spans="1:30" x14ac:dyDescent="0.3">
      <c r="A107" s="6">
        <v>620</v>
      </c>
      <c r="B107" s="6">
        <v>3</v>
      </c>
      <c r="C107" s="6">
        <v>6</v>
      </c>
      <c r="D107" s="6">
        <v>158</v>
      </c>
      <c r="E107" s="6">
        <v>3.5</v>
      </c>
      <c r="F107" s="6">
        <v>2.94</v>
      </c>
      <c r="G107" s="6">
        <v>155</v>
      </c>
      <c r="H107" s="6">
        <v>10</v>
      </c>
      <c r="I107" s="6">
        <v>86</v>
      </c>
      <c r="J107" s="6">
        <v>12</v>
      </c>
      <c r="K107" s="6">
        <v>2.5999999999999999E-3</v>
      </c>
      <c r="L107" s="6">
        <v>50</v>
      </c>
      <c r="M107" s="6">
        <v>108</v>
      </c>
      <c r="N107" s="6">
        <v>50.213999999999999</v>
      </c>
      <c r="O107" s="6">
        <v>37.171999999999997</v>
      </c>
      <c r="P107" s="8">
        <f t="shared" si="3"/>
        <v>13.042000000000002</v>
      </c>
      <c r="R107" s="6"/>
      <c r="T107" s="6"/>
      <c r="V107" s="6"/>
      <c r="X107" s="6"/>
      <c r="Z107" s="6"/>
      <c r="AB107" s="6"/>
      <c r="AD107" s="8"/>
    </row>
    <row r="108" spans="1:30" x14ac:dyDescent="0.3">
      <c r="A108" s="6">
        <v>490</v>
      </c>
      <c r="B108" s="6">
        <v>4</v>
      </c>
      <c r="C108" s="6">
        <v>4</v>
      </c>
      <c r="D108" s="6">
        <v>158</v>
      </c>
      <c r="E108" s="6">
        <v>2.7</v>
      </c>
      <c r="F108" s="6">
        <v>2.94</v>
      </c>
      <c r="G108" s="6">
        <v>245</v>
      </c>
      <c r="H108" s="6">
        <v>1</v>
      </c>
      <c r="I108" s="6">
        <v>46</v>
      </c>
      <c r="J108" s="6">
        <v>9</v>
      </c>
      <c r="K108" s="6">
        <v>5.9999999999999995E-4</v>
      </c>
      <c r="L108" s="6">
        <v>43</v>
      </c>
      <c r="M108" s="6">
        <v>115</v>
      </c>
      <c r="N108" s="6">
        <v>25.78</v>
      </c>
      <c r="O108" s="6">
        <v>20.192</v>
      </c>
      <c r="P108" s="8">
        <f t="shared" si="3"/>
        <v>5.588000000000001</v>
      </c>
      <c r="R108" s="6"/>
      <c r="T108" s="6"/>
      <c r="V108" s="6"/>
      <c r="X108" s="6"/>
      <c r="Z108" s="6"/>
      <c r="AB108" s="6"/>
      <c r="AD108" s="8"/>
    </row>
    <row r="109" spans="1:30" x14ac:dyDescent="0.3">
      <c r="A109" s="6">
        <v>513</v>
      </c>
      <c r="B109" s="6">
        <v>5</v>
      </c>
      <c r="C109" s="6">
        <v>2</v>
      </c>
      <c r="D109" s="6">
        <v>160</v>
      </c>
      <c r="E109" s="6">
        <v>4.7</v>
      </c>
      <c r="F109" s="6">
        <v>2.94</v>
      </c>
      <c r="G109" s="6">
        <v>291</v>
      </c>
      <c r="H109" s="6">
        <v>7</v>
      </c>
      <c r="I109" s="6">
        <v>66</v>
      </c>
      <c r="J109" s="6">
        <v>10</v>
      </c>
      <c r="K109" s="6">
        <v>3.0000000000000001E-3</v>
      </c>
      <c r="L109" s="6">
        <v>74</v>
      </c>
      <c r="M109" s="6">
        <v>86</v>
      </c>
      <c r="N109" s="6">
        <v>108.813</v>
      </c>
      <c r="O109" s="6">
        <v>43.259</v>
      </c>
      <c r="P109" s="8">
        <f t="shared" si="3"/>
        <v>65.554000000000002</v>
      </c>
      <c r="R109" s="6"/>
      <c r="T109" s="6"/>
      <c r="V109" s="6"/>
      <c r="X109" s="6"/>
      <c r="Z109" s="6"/>
      <c r="AB109" s="6"/>
      <c r="AD109" s="8"/>
    </row>
    <row r="110" spans="1:30" x14ac:dyDescent="0.3">
      <c r="A110" s="6">
        <v>420</v>
      </c>
      <c r="B110" s="6">
        <v>3</v>
      </c>
      <c r="C110" s="6">
        <v>8</v>
      </c>
      <c r="D110" s="6">
        <v>157</v>
      </c>
      <c r="E110" s="6">
        <v>2</v>
      </c>
      <c r="F110" s="6">
        <v>2.94</v>
      </c>
      <c r="G110" s="6">
        <v>137</v>
      </c>
      <c r="H110" s="6">
        <v>15</v>
      </c>
      <c r="I110" s="6">
        <v>107</v>
      </c>
      <c r="J110" s="6">
        <v>12</v>
      </c>
      <c r="K110" s="6">
        <v>3.3E-3</v>
      </c>
      <c r="L110" s="6">
        <v>73</v>
      </c>
      <c r="M110" s="6">
        <v>84</v>
      </c>
      <c r="N110" s="6">
        <v>20.890999999999998</v>
      </c>
      <c r="O110" s="6">
        <v>17.428999999999998</v>
      </c>
      <c r="P110" s="8">
        <f t="shared" si="3"/>
        <v>3.4619999999999997</v>
      </c>
      <c r="R110" s="6"/>
      <c r="T110" s="6"/>
      <c r="V110" s="6"/>
      <c r="X110" s="6"/>
      <c r="Z110" s="6"/>
      <c r="AB110" s="6"/>
      <c r="AD110" s="8"/>
    </row>
    <row r="111" spans="1:30" x14ac:dyDescent="0.3">
      <c r="A111" s="6">
        <v>510</v>
      </c>
      <c r="B111" s="6">
        <v>10</v>
      </c>
      <c r="C111" s="6">
        <v>6</v>
      </c>
      <c r="D111" s="6">
        <v>145</v>
      </c>
      <c r="E111" s="6">
        <v>2</v>
      </c>
      <c r="F111" s="6">
        <v>2.94</v>
      </c>
      <c r="G111" s="6">
        <v>41</v>
      </c>
      <c r="H111" s="6">
        <v>10</v>
      </c>
      <c r="I111" s="6">
        <v>60</v>
      </c>
      <c r="J111" s="6">
        <v>14</v>
      </c>
      <c r="K111" s="6">
        <v>3.3999999999999998E-3</v>
      </c>
      <c r="L111" s="6">
        <v>58</v>
      </c>
      <c r="M111" s="6">
        <v>87</v>
      </c>
      <c r="N111" s="6">
        <v>96.727999999999994</v>
      </c>
      <c r="O111" s="6">
        <v>45.222999999999999</v>
      </c>
      <c r="P111" s="8">
        <f t="shared" si="3"/>
        <v>51.504999999999995</v>
      </c>
      <c r="R111" s="6"/>
      <c r="T111" s="6"/>
      <c r="V111" s="6"/>
      <c r="X111" s="6"/>
      <c r="Z111" s="6"/>
      <c r="AB111" s="6"/>
      <c r="AD111" s="8"/>
    </row>
    <row r="112" spans="1:30" x14ac:dyDescent="0.3">
      <c r="A112" s="6">
        <v>650</v>
      </c>
      <c r="B112" s="6">
        <v>3</v>
      </c>
      <c r="C112" s="6">
        <v>6</v>
      </c>
      <c r="D112" s="6">
        <v>152</v>
      </c>
      <c r="E112" s="6">
        <v>3.5</v>
      </c>
      <c r="F112" s="6">
        <v>2.94</v>
      </c>
      <c r="G112" s="6">
        <v>155</v>
      </c>
      <c r="H112" s="6">
        <v>7</v>
      </c>
      <c r="I112" s="6">
        <v>69</v>
      </c>
      <c r="J112" s="6">
        <v>13</v>
      </c>
      <c r="K112" s="6">
        <v>2.2000000000000001E-3</v>
      </c>
      <c r="L112" s="6">
        <v>101</v>
      </c>
      <c r="M112" s="6">
        <v>51</v>
      </c>
      <c r="N112" s="6">
        <v>41.613</v>
      </c>
      <c r="O112" s="6">
        <v>12.193</v>
      </c>
      <c r="P112" s="8">
        <f t="shared" si="3"/>
        <v>29.42</v>
      </c>
      <c r="R112" s="6"/>
      <c r="T112" s="6"/>
      <c r="V112" s="6"/>
      <c r="X112" s="6"/>
      <c r="Z112" s="6"/>
      <c r="AB112" s="6"/>
      <c r="AD112" s="8"/>
    </row>
    <row r="113" spans="1:30" x14ac:dyDescent="0.3">
      <c r="A113" s="6">
        <v>640</v>
      </c>
      <c r="B113" s="6">
        <v>10</v>
      </c>
      <c r="C113" s="6">
        <v>2</v>
      </c>
      <c r="D113" s="6">
        <v>165</v>
      </c>
      <c r="E113" s="6">
        <v>3.5</v>
      </c>
      <c r="F113" s="6">
        <v>2.94</v>
      </c>
      <c r="G113" s="6">
        <v>293</v>
      </c>
      <c r="H113" s="6">
        <v>6</v>
      </c>
      <c r="I113" s="6">
        <v>45</v>
      </c>
      <c r="J113" s="6">
        <v>15</v>
      </c>
      <c r="K113" s="6">
        <v>2.5000000000000001E-3</v>
      </c>
      <c r="L113" s="6">
        <v>56</v>
      </c>
      <c r="M113" s="6">
        <v>109</v>
      </c>
      <c r="N113" s="6">
        <v>126.303</v>
      </c>
      <c r="O113" s="6">
        <v>17.481999999999999</v>
      </c>
      <c r="P113" s="8">
        <f t="shared" si="3"/>
        <v>108.821</v>
      </c>
      <c r="R113" s="6"/>
      <c r="T113" s="6"/>
      <c r="V113" s="6"/>
      <c r="X113" s="6"/>
      <c r="Z113" s="6"/>
      <c r="AB113" s="6"/>
      <c r="AD113" s="8"/>
    </row>
    <row r="114" spans="1:30" x14ac:dyDescent="0.3">
      <c r="A114" s="6">
        <v>507</v>
      </c>
      <c r="B114" s="6">
        <v>9</v>
      </c>
      <c r="C114" s="6">
        <v>8</v>
      </c>
      <c r="D114" s="6">
        <v>160</v>
      </c>
      <c r="E114" s="6">
        <v>4.4000000000000004</v>
      </c>
      <c r="F114" s="6">
        <v>2.94</v>
      </c>
      <c r="G114" s="6">
        <v>90</v>
      </c>
      <c r="H114" s="6">
        <v>7</v>
      </c>
      <c r="I114" s="6">
        <v>66</v>
      </c>
      <c r="J114" s="6">
        <v>12</v>
      </c>
      <c r="K114" s="6">
        <v>2.7000000000000001E-3</v>
      </c>
      <c r="L114" s="6">
        <v>72</v>
      </c>
      <c r="M114" s="6">
        <v>88</v>
      </c>
      <c r="N114" s="6">
        <v>51.203000000000003</v>
      </c>
      <c r="O114" s="6">
        <v>14.819000000000001</v>
      </c>
      <c r="P114" s="8">
        <f t="shared" si="3"/>
        <v>36.384</v>
      </c>
      <c r="R114" s="6"/>
      <c r="T114" s="6"/>
      <c r="V114" s="6"/>
      <c r="X114" s="6"/>
      <c r="Z114" s="6"/>
      <c r="AB114" s="6"/>
      <c r="AD114" s="8"/>
    </row>
    <row r="115" spans="1:30" x14ac:dyDescent="0.3">
      <c r="A115" s="6">
        <v>320</v>
      </c>
      <c r="B115" s="6">
        <v>10</v>
      </c>
      <c r="C115" s="6">
        <v>14</v>
      </c>
      <c r="D115" s="6">
        <v>170</v>
      </c>
      <c r="E115" s="6">
        <v>1.3</v>
      </c>
      <c r="F115" s="6">
        <v>2.94</v>
      </c>
      <c r="G115" s="6">
        <v>347</v>
      </c>
      <c r="H115" s="6">
        <v>15</v>
      </c>
      <c r="I115" s="6">
        <v>96</v>
      </c>
      <c r="J115" s="6">
        <v>17</v>
      </c>
      <c r="K115" s="6">
        <v>2.8999999999999998E-3</v>
      </c>
      <c r="L115" s="6">
        <v>96</v>
      </c>
      <c r="M115" s="6">
        <v>74</v>
      </c>
      <c r="N115" s="6">
        <v>212.905</v>
      </c>
      <c r="O115" s="6">
        <v>30.995999999999999</v>
      </c>
      <c r="P115" s="8">
        <f t="shared" si="3"/>
        <v>181.90899999999999</v>
      </c>
      <c r="R115" s="6"/>
      <c r="T115" s="6"/>
      <c r="V115" s="6"/>
      <c r="X115" s="6"/>
      <c r="Z115" s="6"/>
      <c r="AB115" s="6"/>
      <c r="AD115" s="8"/>
    </row>
    <row r="116" spans="1:30" x14ac:dyDescent="0.3">
      <c r="A116" s="6">
        <v>480</v>
      </c>
      <c r="B116" s="6">
        <v>7</v>
      </c>
      <c r="C116" s="6">
        <v>3</v>
      </c>
      <c r="D116" s="6">
        <v>150</v>
      </c>
      <c r="E116" s="6">
        <v>3</v>
      </c>
      <c r="F116" s="6">
        <v>2.94</v>
      </c>
      <c r="G116" s="6">
        <v>318</v>
      </c>
      <c r="H116" s="6">
        <v>5</v>
      </c>
      <c r="I116" s="6">
        <v>44</v>
      </c>
      <c r="J116" s="6">
        <v>17</v>
      </c>
      <c r="K116" s="6">
        <v>2.3999999999999998E-3</v>
      </c>
      <c r="L116" s="6">
        <v>41</v>
      </c>
      <c r="M116" s="6">
        <v>109</v>
      </c>
      <c r="N116" s="6">
        <v>103.563</v>
      </c>
      <c r="O116" s="6">
        <v>22.317</v>
      </c>
      <c r="P116" s="8">
        <f t="shared" si="3"/>
        <v>81.246000000000009</v>
      </c>
      <c r="R116" s="6"/>
      <c r="T116" s="6"/>
      <c r="V116" s="6"/>
      <c r="X116" s="6"/>
      <c r="Z116" s="6"/>
      <c r="AB116" s="6"/>
      <c r="AD116" s="8"/>
    </row>
    <row r="117" spans="1:30" x14ac:dyDescent="0.3">
      <c r="A117" s="6">
        <v>509</v>
      </c>
      <c r="B117" s="6">
        <v>10</v>
      </c>
      <c r="C117" s="6">
        <v>10</v>
      </c>
      <c r="D117" s="6">
        <v>169</v>
      </c>
      <c r="E117" s="6">
        <v>0.9</v>
      </c>
      <c r="F117" s="6">
        <v>2.94</v>
      </c>
      <c r="G117" s="6">
        <v>41</v>
      </c>
      <c r="H117" s="6">
        <v>10</v>
      </c>
      <c r="I117" s="6">
        <v>79</v>
      </c>
      <c r="J117" s="6">
        <v>15</v>
      </c>
      <c r="K117" s="6">
        <v>2.5000000000000001E-3</v>
      </c>
      <c r="L117" s="6">
        <v>96</v>
      </c>
      <c r="M117" s="6">
        <v>73</v>
      </c>
      <c r="N117" s="6">
        <v>144.28100000000001</v>
      </c>
      <c r="O117" s="6">
        <v>35.052999999999997</v>
      </c>
      <c r="P117" s="8">
        <f t="shared" si="3"/>
        <v>109.22800000000001</v>
      </c>
      <c r="R117" s="6"/>
      <c r="T117" s="6"/>
      <c r="V117" s="6"/>
      <c r="X117" s="6"/>
      <c r="Z117" s="6"/>
      <c r="AB117" s="6"/>
      <c r="AD117" s="8"/>
    </row>
    <row r="118" spans="1:30" x14ac:dyDescent="0.3">
      <c r="A118" s="6">
        <v>478</v>
      </c>
      <c r="B118" s="6">
        <v>10</v>
      </c>
      <c r="C118" s="6">
        <v>16</v>
      </c>
      <c r="D118" s="6">
        <v>169</v>
      </c>
      <c r="E118" s="6">
        <v>1.3</v>
      </c>
      <c r="F118" s="6">
        <v>2.94</v>
      </c>
      <c r="G118" s="6">
        <v>142</v>
      </c>
      <c r="H118" s="6">
        <v>15</v>
      </c>
      <c r="I118" s="6">
        <v>110</v>
      </c>
      <c r="J118" s="6">
        <v>16</v>
      </c>
      <c r="K118" s="6">
        <v>2.5000000000000001E-3</v>
      </c>
      <c r="L118" s="6">
        <v>120</v>
      </c>
      <c r="M118" s="6">
        <v>49</v>
      </c>
      <c r="N118" s="6">
        <v>240.89099999999999</v>
      </c>
      <c r="O118" s="6">
        <v>59.067</v>
      </c>
      <c r="P118" s="8">
        <f t="shared" si="3"/>
        <v>181.82399999999998</v>
      </c>
      <c r="R118" s="6"/>
      <c r="T118" s="6"/>
      <c r="V118" s="6"/>
      <c r="X118" s="6"/>
      <c r="Z118" s="6"/>
      <c r="AB118" s="6"/>
      <c r="AD118" s="8"/>
    </row>
    <row r="119" spans="1:30" x14ac:dyDescent="0.3">
      <c r="A119" s="6">
        <v>500</v>
      </c>
      <c r="B119" s="6">
        <v>10</v>
      </c>
      <c r="C119" s="6">
        <v>3</v>
      </c>
      <c r="D119" s="6">
        <v>148</v>
      </c>
      <c r="E119" s="6">
        <v>13.1</v>
      </c>
      <c r="F119" s="6">
        <v>2.94</v>
      </c>
      <c r="G119" s="6">
        <v>114</v>
      </c>
      <c r="H119" s="6">
        <v>10</v>
      </c>
      <c r="I119" s="6">
        <v>89</v>
      </c>
      <c r="J119" s="6">
        <v>16</v>
      </c>
      <c r="K119" s="6">
        <v>2.2000000000000001E-3</v>
      </c>
      <c r="L119" s="6">
        <v>79</v>
      </c>
      <c r="M119" s="6">
        <v>69</v>
      </c>
      <c r="N119" s="6">
        <v>298.54399999999998</v>
      </c>
      <c r="O119" s="6">
        <v>36.529000000000003</v>
      </c>
      <c r="P119" s="8">
        <f t="shared" si="3"/>
        <v>262.01499999999999</v>
      </c>
      <c r="R119" s="6"/>
      <c r="T119" s="6"/>
      <c r="V119" s="6"/>
      <c r="X119" s="6"/>
      <c r="Z119" s="6"/>
      <c r="AB119" s="6"/>
      <c r="AD119" s="8"/>
    </row>
    <row r="120" spans="1:30" x14ac:dyDescent="0.3">
      <c r="A120" s="6">
        <v>490</v>
      </c>
      <c r="B120" s="6">
        <v>9</v>
      </c>
      <c r="C120" s="6">
        <v>9</v>
      </c>
      <c r="D120" s="6">
        <v>0</v>
      </c>
      <c r="E120" s="6">
        <v>1.3</v>
      </c>
      <c r="F120" s="6">
        <v>2.94</v>
      </c>
      <c r="G120" s="6">
        <v>214</v>
      </c>
      <c r="H120" s="6">
        <v>5</v>
      </c>
      <c r="I120" s="6">
        <v>46</v>
      </c>
      <c r="J120" s="6">
        <v>14</v>
      </c>
      <c r="K120" s="6">
        <v>2.2000000000000001E-3</v>
      </c>
      <c r="L120" s="6">
        <v>0</v>
      </c>
      <c r="M120" s="6">
        <v>0</v>
      </c>
      <c r="N120" s="6">
        <v>109.94499999999999</v>
      </c>
      <c r="O120" s="6">
        <v>22.498000000000001</v>
      </c>
      <c r="P120" s="8">
        <f t="shared" si="3"/>
        <v>87.446999999999989</v>
      </c>
      <c r="R120" s="6"/>
      <c r="T120" s="6"/>
      <c r="V120" s="6"/>
      <c r="X120" s="6"/>
      <c r="Z120" s="6"/>
      <c r="AB120" s="6"/>
      <c r="AD120" s="8"/>
    </row>
    <row r="121" spans="1:30" x14ac:dyDescent="0.3">
      <c r="A121" s="6">
        <v>470</v>
      </c>
      <c r="B121" s="6">
        <v>10</v>
      </c>
      <c r="C121" s="6">
        <v>6</v>
      </c>
      <c r="D121" s="6">
        <v>165</v>
      </c>
      <c r="E121" s="6">
        <v>2.8</v>
      </c>
      <c r="F121" s="6">
        <v>2.94</v>
      </c>
      <c r="G121" s="6">
        <v>221</v>
      </c>
      <c r="H121" s="6">
        <v>5</v>
      </c>
      <c r="I121" s="6">
        <v>46</v>
      </c>
      <c r="J121" s="6">
        <v>14</v>
      </c>
      <c r="K121" s="6">
        <v>1.6999999999999999E-3</v>
      </c>
      <c r="L121" s="6">
        <v>99</v>
      </c>
      <c r="M121" s="6">
        <v>66</v>
      </c>
      <c r="N121" s="6">
        <v>157.08699999999999</v>
      </c>
      <c r="O121" s="6">
        <v>13.241</v>
      </c>
      <c r="P121" s="8">
        <f t="shared" si="3"/>
        <v>143.846</v>
      </c>
      <c r="R121" s="6"/>
      <c r="T121" s="6"/>
      <c r="V121" s="6"/>
      <c r="X121" s="6"/>
      <c r="Z121" s="6"/>
      <c r="AB121" s="6"/>
      <c r="AD121" s="8"/>
    </row>
    <row r="122" spans="1:30" x14ac:dyDescent="0.3">
      <c r="A122" s="6">
        <v>370</v>
      </c>
      <c r="B122" s="6">
        <v>8</v>
      </c>
      <c r="C122" s="6">
        <v>10</v>
      </c>
      <c r="D122" s="6">
        <v>150</v>
      </c>
      <c r="E122" s="6">
        <v>1.3</v>
      </c>
      <c r="F122" s="6">
        <v>2.94</v>
      </c>
      <c r="G122" s="6">
        <v>221</v>
      </c>
      <c r="H122" s="6">
        <v>7</v>
      </c>
      <c r="I122" s="6">
        <v>48</v>
      </c>
      <c r="J122" s="6">
        <v>18</v>
      </c>
      <c r="K122" s="6">
        <v>2E-3</v>
      </c>
      <c r="L122" s="6">
        <v>44</v>
      </c>
      <c r="M122" s="6">
        <v>106</v>
      </c>
      <c r="N122" s="6">
        <v>140.136</v>
      </c>
      <c r="O122" s="6">
        <v>26.725000000000001</v>
      </c>
      <c r="P122" s="8">
        <f t="shared" si="3"/>
        <v>113.411</v>
      </c>
      <c r="R122" s="6"/>
      <c r="T122" s="6"/>
      <c r="V122" s="6"/>
      <c r="X122" s="6"/>
      <c r="Z122" s="6"/>
      <c r="AB122" s="6"/>
      <c r="AD122" s="8"/>
    </row>
    <row r="123" spans="1:30" x14ac:dyDescent="0.3">
      <c r="A123" s="6">
        <v>480</v>
      </c>
      <c r="B123" s="6">
        <v>11</v>
      </c>
      <c r="C123" s="6">
        <v>4</v>
      </c>
      <c r="D123" s="6">
        <v>150</v>
      </c>
      <c r="E123" s="6">
        <v>1.5</v>
      </c>
      <c r="F123" s="6">
        <v>2.94</v>
      </c>
      <c r="G123" s="6">
        <v>254</v>
      </c>
      <c r="H123" s="6">
        <v>0</v>
      </c>
      <c r="I123" s="6">
        <v>51</v>
      </c>
      <c r="J123" s="6">
        <v>15</v>
      </c>
      <c r="K123" s="6">
        <v>1.9E-3</v>
      </c>
      <c r="L123" s="6">
        <v>118</v>
      </c>
      <c r="M123" s="6">
        <v>32</v>
      </c>
      <c r="N123" s="6">
        <v>87.989000000000004</v>
      </c>
      <c r="O123" s="6">
        <v>7.3559999999999999</v>
      </c>
      <c r="P123" s="8">
        <f t="shared" si="3"/>
        <v>80.63300000000001</v>
      </c>
      <c r="R123" s="6"/>
      <c r="T123" s="6"/>
      <c r="V123" s="6"/>
      <c r="X123" s="6"/>
      <c r="Z123" s="6"/>
      <c r="AB123" s="6"/>
      <c r="AD123" s="8"/>
    </row>
    <row r="124" spans="1:30" x14ac:dyDescent="0.3">
      <c r="A124" s="6">
        <v>287</v>
      </c>
      <c r="B124" s="6">
        <v>3</v>
      </c>
      <c r="C124" s="6">
        <v>5</v>
      </c>
      <c r="D124" s="6">
        <v>180</v>
      </c>
      <c r="E124" s="6">
        <v>2.5</v>
      </c>
      <c r="F124" s="6">
        <v>2.94</v>
      </c>
      <c r="G124" s="6">
        <v>349</v>
      </c>
      <c r="H124" s="6">
        <v>5</v>
      </c>
      <c r="I124" s="6">
        <v>57</v>
      </c>
      <c r="J124" s="6">
        <v>12</v>
      </c>
      <c r="K124" s="6">
        <v>2.3E-3</v>
      </c>
      <c r="L124" s="6">
        <v>103</v>
      </c>
      <c r="M124" s="6">
        <v>77</v>
      </c>
      <c r="N124" s="6">
        <v>59.249000000000002</v>
      </c>
      <c r="O124" s="6">
        <v>16.016999999999999</v>
      </c>
      <c r="P124" s="8">
        <f t="shared" si="3"/>
        <v>43.231999999999999</v>
      </c>
      <c r="R124" s="6"/>
      <c r="T124" s="6"/>
      <c r="V124" s="6"/>
      <c r="X124" s="6"/>
      <c r="Z124" s="6"/>
      <c r="AB124" s="6"/>
      <c r="AD124" s="8"/>
    </row>
    <row r="125" spans="1:30" x14ac:dyDescent="0.3">
      <c r="A125" s="6">
        <v>170</v>
      </c>
      <c r="B125" s="6">
        <v>4</v>
      </c>
      <c r="C125" s="6">
        <v>5</v>
      </c>
      <c r="D125" s="6">
        <v>150</v>
      </c>
      <c r="E125" s="6">
        <v>2.5</v>
      </c>
      <c r="F125" s="6">
        <v>2.94</v>
      </c>
      <c r="G125" s="6">
        <v>299</v>
      </c>
      <c r="H125" s="6">
        <v>5</v>
      </c>
      <c r="I125" s="6">
        <v>53</v>
      </c>
      <c r="J125" s="6">
        <v>11</v>
      </c>
      <c r="K125" s="6">
        <v>2.3E-3</v>
      </c>
      <c r="L125" s="6">
        <v>75</v>
      </c>
      <c r="M125" s="6">
        <v>75</v>
      </c>
      <c r="N125" s="6">
        <v>26.038</v>
      </c>
      <c r="O125" s="6">
        <v>11.792999999999999</v>
      </c>
      <c r="P125" s="8">
        <f t="shared" si="3"/>
        <v>14.245000000000001</v>
      </c>
      <c r="R125" s="6"/>
      <c r="T125" s="6"/>
      <c r="V125" s="6"/>
      <c r="X125" s="6"/>
      <c r="Z125" s="6"/>
      <c r="AB125" s="6"/>
      <c r="AD125" s="8"/>
    </row>
    <row r="126" spans="1:30" x14ac:dyDescent="0.3">
      <c r="A126" s="6">
        <v>569</v>
      </c>
      <c r="B126" s="6">
        <v>11</v>
      </c>
      <c r="C126" s="6">
        <v>10</v>
      </c>
      <c r="D126" s="6">
        <v>160</v>
      </c>
      <c r="E126" s="6">
        <v>1.3</v>
      </c>
      <c r="F126" s="6">
        <v>2.94</v>
      </c>
      <c r="G126" s="6">
        <v>221</v>
      </c>
      <c r="H126" s="6">
        <v>5</v>
      </c>
      <c r="I126" s="6">
        <v>46</v>
      </c>
      <c r="J126" s="6">
        <v>16</v>
      </c>
      <c r="K126" s="6">
        <v>2E-3</v>
      </c>
      <c r="L126" s="6">
        <v>87</v>
      </c>
      <c r="M126" s="6">
        <v>73</v>
      </c>
      <c r="N126" s="6">
        <v>108.003</v>
      </c>
      <c r="O126" s="6">
        <v>28.756</v>
      </c>
      <c r="P126" s="8">
        <f t="shared" si="3"/>
        <v>79.247</v>
      </c>
      <c r="R126" s="6"/>
      <c r="T126" s="6"/>
      <c r="V126" s="6"/>
      <c r="X126" s="6"/>
      <c r="Z126" s="6"/>
      <c r="AB126" s="6"/>
      <c r="AD126" s="8"/>
    </row>
    <row r="127" spans="1:30" x14ac:dyDescent="0.3">
      <c r="A127" s="6">
        <v>270</v>
      </c>
      <c r="B127" s="6">
        <v>3</v>
      </c>
      <c r="C127" s="6">
        <v>7</v>
      </c>
      <c r="D127" s="6">
        <v>156</v>
      </c>
      <c r="E127" s="6">
        <v>4.5999999999999996</v>
      </c>
      <c r="F127" s="6">
        <v>2.94</v>
      </c>
      <c r="G127" s="6">
        <v>176</v>
      </c>
      <c r="H127" s="6">
        <v>15</v>
      </c>
      <c r="I127" s="6">
        <v>95</v>
      </c>
      <c r="J127" s="6">
        <v>13</v>
      </c>
      <c r="K127" s="6">
        <v>3.5000000000000001E-3</v>
      </c>
      <c r="L127" s="6">
        <v>79</v>
      </c>
      <c r="M127" s="6">
        <v>77</v>
      </c>
      <c r="N127" s="6">
        <v>29.443999999999999</v>
      </c>
      <c r="O127" s="6">
        <v>25.393999999999998</v>
      </c>
      <c r="P127" s="8">
        <f t="shared" si="3"/>
        <v>4.0500000000000007</v>
      </c>
      <c r="R127" s="6"/>
      <c r="T127" s="6"/>
      <c r="V127" s="6"/>
      <c r="X127" s="6"/>
      <c r="Z127" s="6"/>
      <c r="AB127" s="6"/>
      <c r="AD127" s="8"/>
    </row>
    <row r="128" spans="1:30" x14ac:dyDescent="0.3">
      <c r="A128" s="6">
        <v>400</v>
      </c>
      <c r="B128" s="6">
        <v>4</v>
      </c>
      <c r="C128" s="6">
        <v>10</v>
      </c>
      <c r="D128" s="6">
        <v>142</v>
      </c>
      <c r="E128" s="6">
        <v>2.8</v>
      </c>
      <c r="F128" s="6">
        <v>2.94</v>
      </c>
      <c r="G128" s="6">
        <v>220</v>
      </c>
      <c r="H128" s="6">
        <v>10</v>
      </c>
      <c r="I128" s="6">
        <v>84</v>
      </c>
      <c r="J128" s="6">
        <v>13</v>
      </c>
      <c r="K128" s="6">
        <v>2.1000000000000003E-3</v>
      </c>
      <c r="L128" s="6">
        <v>78</v>
      </c>
      <c r="M128" s="6">
        <v>64</v>
      </c>
      <c r="N128" s="6">
        <v>64.120999999999995</v>
      </c>
      <c r="O128" s="6">
        <v>21.952999999999999</v>
      </c>
      <c r="P128" s="8">
        <f t="shared" si="3"/>
        <v>42.167999999999992</v>
      </c>
      <c r="R128" s="6"/>
      <c r="T128" s="6"/>
      <c r="V128" s="6"/>
      <c r="X128" s="6"/>
      <c r="Z128" s="6"/>
      <c r="AB128" s="6"/>
      <c r="AD128" s="8"/>
    </row>
    <row r="129" spans="1:30" x14ac:dyDescent="0.3">
      <c r="A129" s="6">
        <v>260</v>
      </c>
      <c r="B129" s="6">
        <v>3</v>
      </c>
      <c r="C129" s="6">
        <v>7</v>
      </c>
      <c r="D129" s="6">
        <v>165</v>
      </c>
      <c r="E129" s="6">
        <v>1.4</v>
      </c>
      <c r="F129" s="6">
        <v>2.94</v>
      </c>
      <c r="G129" s="6">
        <v>44</v>
      </c>
      <c r="H129" s="6">
        <v>6</v>
      </c>
      <c r="I129" s="6">
        <v>59</v>
      </c>
      <c r="J129" s="6">
        <v>19</v>
      </c>
      <c r="K129" s="6">
        <v>1.6999999999999999E-3</v>
      </c>
      <c r="L129" s="6">
        <v>56</v>
      </c>
      <c r="M129" s="6">
        <v>109</v>
      </c>
      <c r="N129" s="6">
        <v>9.5180000000000007</v>
      </c>
      <c r="O129" s="6">
        <v>3.456</v>
      </c>
      <c r="P129" s="8">
        <f t="shared" si="3"/>
        <v>6.0620000000000012</v>
      </c>
      <c r="R129" s="6"/>
      <c r="T129" s="6"/>
      <c r="V129" s="6"/>
      <c r="X129" s="6"/>
      <c r="Z129" s="6"/>
      <c r="AB129" s="6"/>
      <c r="AD129" s="8"/>
    </row>
    <row r="130" spans="1:30" x14ac:dyDescent="0.3">
      <c r="A130" s="6">
        <v>300</v>
      </c>
      <c r="B130" s="6">
        <v>3</v>
      </c>
      <c r="C130" s="6">
        <v>8</v>
      </c>
      <c r="D130" s="6">
        <v>135</v>
      </c>
      <c r="E130" s="6">
        <v>1.5</v>
      </c>
      <c r="F130" s="6">
        <v>2.94</v>
      </c>
      <c r="G130" s="6">
        <v>234</v>
      </c>
      <c r="H130" s="6">
        <v>5</v>
      </c>
      <c r="I130" s="6">
        <v>63</v>
      </c>
      <c r="J130" s="6">
        <v>12</v>
      </c>
      <c r="K130" s="6">
        <v>1.8E-3</v>
      </c>
      <c r="L130" s="6">
        <v>83</v>
      </c>
      <c r="M130" s="6">
        <v>52</v>
      </c>
      <c r="N130" s="6">
        <v>13.478999999999999</v>
      </c>
      <c r="O130" s="6">
        <v>7.39</v>
      </c>
      <c r="P130" s="8">
        <f t="shared" ref="P130:P161" si="4">N130-O130</f>
        <v>6.0889999999999995</v>
      </c>
      <c r="R130" s="6"/>
      <c r="T130" s="6"/>
      <c r="V130" s="6"/>
      <c r="X130" s="6"/>
      <c r="Z130" s="6"/>
      <c r="AB130" s="6"/>
      <c r="AD130" s="8"/>
    </row>
    <row r="131" spans="1:30" x14ac:dyDescent="0.3">
      <c r="A131" s="6">
        <v>330</v>
      </c>
      <c r="B131" s="6">
        <v>3</v>
      </c>
      <c r="C131" s="6">
        <v>3</v>
      </c>
      <c r="D131" s="6">
        <v>156</v>
      </c>
      <c r="E131" s="6">
        <v>4.7</v>
      </c>
      <c r="F131" s="6">
        <v>2.94</v>
      </c>
      <c r="G131" s="6">
        <v>286</v>
      </c>
      <c r="H131" s="6">
        <v>5</v>
      </c>
      <c r="I131" s="6">
        <v>61</v>
      </c>
      <c r="J131" s="6">
        <v>11</v>
      </c>
      <c r="K131" s="6">
        <v>1.6999999999999999E-3</v>
      </c>
      <c r="L131" s="6">
        <v>101</v>
      </c>
      <c r="M131" s="6">
        <v>55</v>
      </c>
      <c r="N131" s="6">
        <v>43.485999999999997</v>
      </c>
      <c r="O131" s="6">
        <v>30.359000000000002</v>
      </c>
      <c r="P131" s="8">
        <f t="shared" si="4"/>
        <v>13.126999999999995</v>
      </c>
      <c r="R131" s="6"/>
      <c r="T131" s="6"/>
      <c r="V131" s="6"/>
      <c r="X131" s="6"/>
      <c r="Z131" s="6"/>
      <c r="AB131" s="6"/>
      <c r="AD131" s="8"/>
    </row>
    <row r="132" spans="1:30" x14ac:dyDescent="0.3">
      <c r="A132" s="6">
        <v>310</v>
      </c>
      <c r="B132" s="6">
        <v>3</v>
      </c>
      <c r="C132" s="6">
        <v>3</v>
      </c>
      <c r="D132" s="6">
        <v>157</v>
      </c>
      <c r="E132" s="6">
        <v>4.5</v>
      </c>
      <c r="F132" s="6">
        <v>2.94</v>
      </c>
      <c r="G132" s="6">
        <v>293</v>
      </c>
      <c r="H132" s="6">
        <v>21</v>
      </c>
      <c r="I132" s="6">
        <v>106</v>
      </c>
      <c r="J132" s="6">
        <v>21</v>
      </c>
      <c r="K132" s="6">
        <v>3.0000000000000001E-3</v>
      </c>
      <c r="L132" s="6">
        <v>74</v>
      </c>
      <c r="M132" s="6">
        <v>83</v>
      </c>
      <c r="N132" s="6">
        <v>74.263999999999996</v>
      </c>
      <c r="O132" s="6">
        <v>9.9710000000000001</v>
      </c>
      <c r="P132" s="8">
        <f t="shared" si="4"/>
        <v>64.292999999999992</v>
      </c>
      <c r="R132" s="6"/>
      <c r="T132" s="6"/>
      <c r="V132" s="6"/>
      <c r="X132" s="6"/>
      <c r="Z132" s="6"/>
      <c r="AB132" s="6"/>
      <c r="AD132" s="8"/>
    </row>
    <row r="133" spans="1:30" x14ac:dyDescent="0.3">
      <c r="A133" s="6">
        <v>190</v>
      </c>
      <c r="B133" s="6">
        <v>3</v>
      </c>
      <c r="C133" s="6">
        <v>5</v>
      </c>
      <c r="D133" s="6">
        <v>123</v>
      </c>
      <c r="E133" s="6">
        <v>5</v>
      </c>
      <c r="F133" s="6">
        <v>2.94</v>
      </c>
      <c r="G133" s="6">
        <v>155</v>
      </c>
      <c r="H133" s="6">
        <v>10</v>
      </c>
      <c r="I133" s="6">
        <v>73</v>
      </c>
      <c r="J133" s="6">
        <v>11</v>
      </c>
      <c r="K133" s="6">
        <v>3.5000000000000001E-3</v>
      </c>
      <c r="L133" s="6">
        <v>72</v>
      </c>
      <c r="M133" s="6">
        <v>51</v>
      </c>
      <c r="N133" s="6">
        <v>9.1969999999999992</v>
      </c>
      <c r="O133" s="6">
        <v>8.0079999999999991</v>
      </c>
      <c r="P133" s="8">
        <f t="shared" si="4"/>
        <v>1.1890000000000001</v>
      </c>
      <c r="R133" s="6"/>
      <c r="T133" s="6"/>
      <c r="V133" s="6"/>
      <c r="X133" s="6"/>
      <c r="Z133" s="6"/>
      <c r="AB133" s="6"/>
      <c r="AD133" s="8"/>
    </row>
    <row r="134" spans="1:30" x14ac:dyDescent="0.3">
      <c r="A134" s="6">
        <v>420</v>
      </c>
      <c r="B134" s="6">
        <v>10</v>
      </c>
      <c r="C134" s="6">
        <v>12</v>
      </c>
      <c r="D134" s="6">
        <v>167</v>
      </c>
      <c r="E134" s="6">
        <v>1.3</v>
      </c>
      <c r="F134" s="6">
        <v>2.94</v>
      </c>
      <c r="G134" s="6">
        <v>214</v>
      </c>
      <c r="H134" s="6">
        <v>5</v>
      </c>
      <c r="I134" s="6">
        <v>45</v>
      </c>
      <c r="J134" s="6">
        <v>17</v>
      </c>
      <c r="K134" s="6">
        <v>1.6999999999999999E-3</v>
      </c>
      <c r="L134" s="6">
        <v>113</v>
      </c>
      <c r="M134" s="6">
        <v>54</v>
      </c>
      <c r="N134" s="6">
        <v>155.76400000000001</v>
      </c>
      <c r="O134" s="6">
        <v>50.914000000000001</v>
      </c>
      <c r="P134" s="8">
        <f t="shared" si="4"/>
        <v>104.85000000000001</v>
      </c>
      <c r="R134" s="6"/>
      <c r="T134" s="6"/>
      <c r="V134" s="6"/>
      <c r="X134" s="6"/>
      <c r="Z134" s="6"/>
      <c r="AB134" s="6"/>
      <c r="AD134" s="8"/>
    </row>
    <row r="135" spans="1:30" x14ac:dyDescent="0.3">
      <c r="A135" s="6">
        <v>250</v>
      </c>
      <c r="B135" s="6">
        <v>3</v>
      </c>
      <c r="C135" s="6">
        <v>6</v>
      </c>
      <c r="D135" s="6">
        <v>155</v>
      </c>
      <c r="E135" s="6">
        <v>2.2999999999999998</v>
      </c>
      <c r="F135" s="6">
        <v>2.94</v>
      </c>
      <c r="G135" s="6">
        <v>299</v>
      </c>
      <c r="H135" s="6">
        <v>5</v>
      </c>
      <c r="I135" s="6">
        <v>37</v>
      </c>
      <c r="J135" s="6">
        <v>16</v>
      </c>
      <c r="K135" s="6">
        <v>2.2000000000000001E-3</v>
      </c>
      <c r="L135" s="6">
        <v>56</v>
      </c>
      <c r="M135" s="6">
        <v>99</v>
      </c>
      <c r="N135" s="6">
        <v>21.030999999999999</v>
      </c>
      <c r="O135" s="6">
        <v>6.3049999999999997</v>
      </c>
      <c r="P135" s="8">
        <f t="shared" si="4"/>
        <v>14.725999999999999</v>
      </c>
      <c r="R135" s="6"/>
      <c r="T135" s="6"/>
      <c r="V135" s="6"/>
      <c r="X135" s="6"/>
      <c r="Z135" s="6"/>
      <c r="AB135" s="6"/>
      <c r="AD135" s="8"/>
    </row>
    <row r="136" spans="1:30" x14ac:dyDescent="0.3">
      <c r="A136" s="6">
        <v>300</v>
      </c>
      <c r="B136" s="6">
        <v>3</v>
      </c>
      <c r="C136" s="6">
        <v>10</v>
      </c>
      <c r="D136" s="6">
        <v>149</v>
      </c>
      <c r="E136" s="6">
        <v>6.3</v>
      </c>
      <c r="F136" s="6">
        <v>2.94</v>
      </c>
      <c r="G136" s="6">
        <v>236</v>
      </c>
      <c r="H136" s="6">
        <v>10</v>
      </c>
      <c r="I136" s="6">
        <v>73</v>
      </c>
      <c r="J136" s="6">
        <v>18</v>
      </c>
      <c r="K136" s="6">
        <v>2E-3</v>
      </c>
      <c r="L136" s="6">
        <v>95</v>
      </c>
      <c r="M136" s="6">
        <v>54</v>
      </c>
      <c r="N136" s="6">
        <v>67.581000000000003</v>
      </c>
      <c r="O136" s="6">
        <v>4.6340000000000003</v>
      </c>
      <c r="P136" s="8">
        <f t="shared" si="4"/>
        <v>62.947000000000003</v>
      </c>
      <c r="R136" s="6"/>
      <c r="T136" s="6"/>
      <c r="V136" s="6"/>
      <c r="X136" s="6"/>
      <c r="Z136" s="6"/>
      <c r="AB136" s="6"/>
      <c r="AD136" s="8"/>
    </row>
    <row r="137" spans="1:30" x14ac:dyDescent="0.3">
      <c r="A137" s="6">
        <v>304</v>
      </c>
      <c r="B137" s="6">
        <v>3</v>
      </c>
      <c r="C137" s="6">
        <v>6</v>
      </c>
      <c r="D137" s="6">
        <v>165</v>
      </c>
      <c r="E137" s="6">
        <v>3.4</v>
      </c>
      <c r="F137" s="6">
        <v>2.94</v>
      </c>
      <c r="G137" s="6">
        <v>78</v>
      </c>
      <c r="H137" s="6">
        <v>2</v>
      </c>
      <c r="I137" s="6">
        <v>57</v>
      </c>
      <c r="J137" s="6">
        <v>10</v>
      </c>
      <c r="K137" s="6">
        <v>1.2999999999999999E-3</v>
      </c>
      <c r="L137" s="6">
        <v>164</v>
      </c>
      <c r="M137" s="6">
        <v>1</v>
      </c>
      <c r="N137" s="6">
        <v>174.541</v>
      </c>
      <c r="O137" s="6">
        <v>7.1999999999999995E-2</v>
      </c>
      <c r="P137" s="8">
        <f t="shared" si="4"/>
        <v>174.46899999999999</v>
      </c>
      <c r="R137" s="6"/>
      <c r="T137" s="6"/>
      <c r="V137" s="6"/>
      <c r="X137" s="6"/>
      <c r="Z137" s="6"/>
      <c r="AB137" s="6"/>
      <c r="AD137" s="8"/>
    </row>
    <row r="138" spans="1:30" x14ac:dyDescent="0.3">
      <c r="A138" s="6">
        <v>266</v>
      </c>
      <c r="B138" s="6">
        <v>3</v>
      </c>
      <c r="C138" s="6">
        <v>7</v>
      </c>
      <c r="D138" s="6">
        <v>165</v>
      </c>
      <c r="E138" s="6">
        <v>2.7</v>
      </c>
      <c r="F138" s="6">
        <v>2.94</v>
      </c>
      <c r="G138" s="6">
        <v>64</v>
      </c>
      <c r="H138" s="6">
        <v>3</v>
      </c>
      <c r="I138" s="6">
        <v>32</v>
      </c>
      <c r="J138" s="6">
        <v>12</v>
      </c>
      <c r="K138" s="6">
        <v>2.1000000000000003E-3</v>
      </c>
      <c r="L138" s="6">
        <v>61</v>
      </c>
      <c r="M138" s="6">
        <v>104</v>
      </c>
      <c r="N138" s="6">
        <v>19.061</v>
      </c>
      <c r="O138" s="6">
        <v>10.816000000000001</v>
      </c>
      <c r="P138" s="8">
        <f t="shared" si="4"/>
        <v>8.2449999999999992</v>
      </c>
      <c r="R138" s="6"/>
      <c r="T138" s="6"/>
      <c r="V138" s="6"/>
      <c r="X138" s="6"/>
      <c r="Z138" s="6"/>
      <c r="AB138" s="6"/>
      <c r="AD138" s="8"/>
    </row>
    <row r="139" spans="1:30" x14ac:dyDescent="0.3">
      <c r="A139" s="6">
        <v>260</v>
      </c>
      <c r="B139" s="6">
        <v>3</v>
      </c>
      <c r="C139" s="6">
        <v>7</v>
      </c>
      <c r="D139" s="6">
        <v>165</v>
      </c>
      <c r="E139" s="6">
        <v>1.4</v>
      </c>
      <c r="F139" s="6">
        <v>2.94</v>
      </c>
      <c r="G139" s="6">
        <v>44</v>
      </c>
      <c r="H139" s="6">
        <v>6</v>
      </c>
      <c r="I139" s="6">
        <v>59</v>
      </c>
      <c r="J139" s="6">
        <v>19</v>
      </c>
      <c r="K139" s="6">
        <v>1.6999999999999999E-3</v>
      </c>
      <c r="L139" s="6">
        <v>56</v>
      </c>
      <c r="M139" s="6">
        <v>109</v>
      </c>
      <c r="N139" s="6">
        <v>9.5180000000000007</v>
      </c>
      <c r="O139" s="6">
        <v>3.456</v>
      </c>
      <c r="P139" s="8">
        <f t="shared" si="4"/>
        <v>6.0620000000000012</v>
      </c>
      <c r="R139" s="6"/>
      <c r="T139" s="6"/>
      <c r="V139" s="6"/>
      <c r="X139" s="6"/>
      <c r="Z139" s="6"/>
      <c r="AB139" s="6"/>
      <c r="AD139" s="8"/>
    </row>
    <row r="140" spans="1:30" x14ac:dyDescent="0.3">
      <c r="A140" s="6">
        <v>300</v>
      </c>
      <c r="B140" s="6">
        <v>3</v>
      </c>
      <c r="C140" s="6">
        <v>8</v>
      </c>
      <c r="D140" s="6">
        <v>135</v>
      </c>
      <c r="E140" s="6">
        <v>1.5</v>
      </c>
      <c r="F140" s="6">
        <v>2.94</v>
      </c>
      <c r="G140" s="6">
        <v>234</v>
      </c>
      <c r="H140" s="6">
        <v>5</v>
      </c>
      <c r="I140" s="6">
        <v>63</v>
      </c>
      <c r="J140" s="6">
        <v>12</v>
      </c>
      <c r="K140" s="6">
        <v>1.8E-3</v>
      </c>
      <c r="L140" s="6">
        <v>83</v>
      </c>
      <c r="M140" s="6">
        <v>52</v>
      </c>
      <c r="N140" s="6">
        <v>13.478999999999999</v>
      </c>
      <c r="O140" s="6">
        <v>7.39</v>
      </c>
      <c r="P140" s="8">
        <f t="shared" si="4"/>
        <v>6.0889999999999995</v>
      </c>
      <c r="R140" s="6"/>
      <c r="T140" s="6"/>
      <c r="V140" s="6"/>
      <c r="X140" s="6"/>
      <c r="Z140" s="6"/>
      <c r="AB140" s="6"/>
      <c r="AD140" s="8"/>
    </row>
    <row r="141" spans="1:30" x14ac:dyDescent="0.3">
      <c r="A141" s="6">
        <v>330</v>
      </c>
      <c r="B141" s="6">
        <v>5</v>
      </c>
      <c r="C141" s="6">
        <v>7</v>
      </c>
      <c r="D141" s="6">
        <v>0</v>
      </c>
      <c r="E141" s="6">
        <v>5</v>
      </c>
      <c r="F141" s="6">
        <v>2.94</v>
      </c>
      <c r="G141" s="6">
        <v>117</v>
      </c>
      <c r="H141" s="6">
        <v>21</v>
      </c>
      <c r="I141" s="6">
        <v>81</v>
      </c>
      <c r="J141" s="6">
        <v>22</v>
      </c>
      <c r="K141" s="6">
        <v>3.2000000000000002E-3</v>
      </c>
      <c r="L141" s="6">
        <v>0</v>
      </c>
      <c r="M141" s="6">
        <v>0</v>
      </c>
      <c r="N141" s="6">
        <v>11.42</v>
      </c>
      <c r="O141" s="6">
        <v>4.9020000000000001</v>
      </c>
      <c r="P141" s="8">
        <f t="shared" si="4"/>
        <v>6.5179999999999998</v>
      </c>
      <c r="R141" s="6"/>
      <c r="T141" s="6"/>
      <c r="V141" s="6"/>
      <c r="X141" s="6"/>
      <c r="Z141" s="6"/>
      <c r="AB141" s="6"/>
      <c r="AD141" s="8"/>
    </row>
    <row r="142" spans="1:30" x14ac:dyDescent="0.3">
      <c r="A142" s="6">
        <v>501</v>
      </c>
      <c r="B142" s="6">
        <v>3</v>
      </c>
      <c r="C142" s="6">
        <v>6</v>
      </c>
      <c r="D142" s="6">
        <v>0</v>
      </c>
      <c r="E142" s="6">
        <v>4.7</v>
      </c>
      <c r="F142" s="6">
        <v>2.94</v>
      </c>
      <c r="G142" s="6">
        <v>0</v>
      </c>
      <c r="H142" s="6">
        <v>15</v>
      </c>
      <c r="I142" s="6">
        <v>87</v>
      </c>
      <c r="J142" s="6">
        <v>13</v>
      </c>
      <c r="K142" s="6">
        <v>2E-3</v>
      </c>
      <c r="L142" s="6">
        <v>0</v>
      </c>
      <c r="M142" s="6">
        <v>0</v>
      </c>
      <c r="N142" s="6">
        <v>39.29</v>
      </c>
      <c r="O142" s="6">
        <v>31.132999999999999</v>
      </c>
      <c r="P142" s="8">
        <f t="shared" si="4"/>
        <v>8.157</v>
      </c>
      <c r="R142" s="6"/>
      <c r="T142" s="6"/>
      <c r="V142" s="6"/>
      <c r="X142" s="6"/>
      <c r="Z142" s="6"/>
      <c r="AB142" s="6"/>
      <c r="AD142" s="8"/>
    </row>
    <row r="143" spans="1:30" x14ac:dyDescent="0.3">
      <c r="A143" s="6">
        <v>490</v>
      </c>
      <c r="B143" s="6">
        <v>9</v>
      </c>
      <c r="C143" s="6">
        <v>9</v>
      </c>
      <c r="D143" s="6">
        <v>0</v>
      </c>
      <c r="E143" s="6">
        <v>1.3</v>
      </c>
      <c r="F143" s="6">
        <v>2.94</v>
      </c>
      <c r="G143" s="6">
        <v>214</v>
      </c>
      <c r="H143" s="6">
        <v>5</v>
      </c>
      <c r="I143" s="6">
        <v>46</v>
      </c>
      <c r="J143" s="6">
        <v>14</v>
      </c>
      <c r="K143" s="6">
        <v>2.2000000000000001E-3</v>
      </c>
      <c r="L143" s="6">
        <v>0</v>
      </c>
      <c r="M143" s="6">
        <v>0</v>
      </c>
      <c r="N143" s="6">
        <v>109.94499999999999</v>
      </c>
      <c r="O143" s="6">
        <v>22.498000000000001</v>
      </c>
      <c r="P143" s="8">
        <f t="shared" si="4"/>
        <v>87.446999999999989</v>
      </c>
      <c r="R143" s="6"/>
      <c r="T143" s="6"/>
      <c r="V143" s="6"/>
      <c r="X143" s="6"/>
      <c r="Z143" s="6"/>
      <c r="AB143" s="6"/>
      <c r="AD143" s="8"/>
    </row>
    <row r="144" spans="1:30" x14ac:dyDescent="0.3">
      <c r="A144" s="6">
        <v>330</v>
      </c>
      <c r="B144" s="6">
        <v>3</v>
      </c>
      <c r="C144" s="6">
        <v>4</v>
      </c>
      <c r="D144" s="6">
        <v>153</v>
      </c>
      <c r="E144" s="6">
        <v>3.2</v>
      </c>
      <c r="F144" s="6">
        <v>2.94</v>
      </c>
      <c r="G144" s="6">
        <v>352</v>
      </c>
      <c r="H144" s="6">
        <v>7</v>
      </c>
      <c r="I144" s="6">
        <v>113</v>
      </c>
      <c r="J144" s="6">
        <v>12</v>
      </c>
      <c r="K144" s="6">
        <v>2E-3</v>
      </c>
      <c r="L144" s="6">
        <v>103</v>
      </c>
      <c r="M144" s="6">
        <v>50</v>
      </c>
      <c r="N144" s="6">
        <v>53.55</v>
      </c>
      <c r="O144" s="6">
        <v>21.864000000000001</v>
      </c>
      <c r="P144" s="8">
        <f t="shared" si="4"/>
        <v>31.685999999999996</v>
      </c>
      <c r="R144" s="6"/>
      <c r="T144" s="6"/>
      <c r="V144" s="6"/>
      <c r="X144" s="6"/>
      <c r="Z144" s="6"/>
      <c r="AB144" s="6"/>
      <c r="AD144" s="8"/>
    </row>
    <row r="145" spans="1:30" x14ac:dyDescent="0.3">
      <c r="A145" s="6">
        <v>230</v>
      </c>
      <c r="B145" s="6">
        <v>3</v>
      </c>
      <c r="C145" s="6">
        <v>6</v>
      </c>
      <c r="D145" s="6">
        <v>157</v>
      </c>
      <c r="E145" s="6">
        <v>4</v>
      </c>
      <c r="F145" s="6">
        <v>2.94</v>
      </c>
      <c r="G145" s="6">
        <v>155</v>
      </c>
      <c r="H145" s="6">
        <v>10</v>
      </c>
      <c r="I145" s="6">
        <v>71</v>
      </c>
      <c r="J145" s="6">
        <v>12</v>
      </c>
      <c r="K145" s="6">
        <v>3.5000000000000001E-3</v>
      </c>
      <c r="L145" s="6">
        <v>57</v>
      </c>
      <c r="M145" s="6">
        <v>100</v>
      </c>
      <c r="N145" s="6">
        <v>15.802</v>
      </c>
      <c r="O145" s="6">
        <v>12.843</v>
      </c>
      <c r="P145" s="8">
        <f t="shared" si="4"/>
        <v>2.9589999999999996</v>
      </c>
      <c r="R145" s="6"/>
      <c r="T145" s="6"/>
      <c r="V145" s="6"/>
      <c r="X145" s="6"/>
      <c r="Z145" s="6"/>
      <c r="AB145" s="6"/>
      <c r="AD145" s="8"/>
    </row>
    <row r="146" spans="1:30" x14ac:dyDescent="0.3">
      <c r="A146" s="6">
        <v>523</v>
      </c>
      <c r="B146" s="6">
        <v>9</v>
      </c>
      <c r="C146" s="6">
        <v>7</v>
      </c>
      <c r="D146" s="6">
        <v>160</v>
      </c>
      <c r="E146" s="6">
        <v>1.1000000000000001</v>
      </c>
      <c r="F146" s="6">
        <v>2.94</v>
      </c>
      <c r="G146" s="6">
        <v>137</v>
      </c>
      <c r="H146" s="6">
        <v>10</v>
      </c>
      <c r="I146" s="6">
        <v>70</v>
      </c>
      <c r="J146" s="6">
        <v>15</v>
      </c>
      <c r="K146" s="6">
        <v>2.7000000000000001E-3</v>
      </c>
      <c r="L146" s="6">
        <v>105</v>
      </c>
      <c r="M146" s="6">
        <v>55</v>
      </c>
      <c r="N146" s="6">
        <v>137.322</v>
      </c>
      <c r="O146" s="6">
        <v>32.054000000000002</v>
      </c>
      <c r="P146" s="8">
        <f t="shared" si="4"/>
        <v>105.268</v>
      </c>
      <c r="R146" s="6"/>
      <c r="T146" s="6"/>
      <c r="V146" s="6"/>
      <c r="X146" s="6"/>
      <c r="Z146" s="6"/>
      <c r="AB146" s="6"/>
      <c r="AD146" s="8"/>
    </row>
    <row r="147" spans="1:30" x14ac:dyDescent="0.3">
      <c r="A147" s="6">
        <v>350</v>
      </c>
      <c r="B147" s="6">
        <v>3</v>
      </c>
      <c r="C147" s="6">
        <v>4</v>
      </c>
      <c r="D147" s="6">
        <v>151</v>
      </c>
      <c r="E147" s="6">
        <v>3</v>
      </c>
      <c r="F147" s="6">
        <v>2.94</v>
      </c>
      <c r="G147" s="6">
        <v>78</v>
      </c>
      <c r="H147" s="6">
        <v>5</v>
      </c>
      <c r="I147" s="6">
        <v>56</v>
      </c>
      <c r="J147" s="6">
        <v>12</v>
      </c>
      <c r="K147" s="6">
        <v>1.9E-3</v>
      </c>
      <c r="L147" s="6">
        <v>80</v>
      </c>
      <c r="M147" s="6">
        <v>71</v>
      </c>
      <c r="N147" s="6">
        <v>65.114000000000004</v>
      </c>
      <c r="O147" s="6">
        <v>20.933</v>
      </c>
      <c r="P147" s="8">
        <f t="shared" si="4"/>
        <v>44.181000000000004</v>
      </c>
      <c r="R147" s="6"/>
      <c r="T147" s="6"/>
      <c r="V147" s="6"/>
      <c r="X147" s="6"/>
      <c r="Z147" s="6"/>
      <c r="AB147" s="6"/>
      <c r="AD147" s="8"/>
    </row>
    <row r="148" spans="1:30" x14ac:dyDescent="0.3">
      <c r="A148" s="6">
        <v>180</v>
      </c>
      <c r="B148" s="6">
        <v>3</v>
      </c>
      <c r="C148" s="6">
        <v>6</v>
      </c>
      <c r="D148" s="6">
        <v>157</v>
      </c>
      <c r="E148" s="6">
        <v>2.1</v>
      </c>
      <c r="F148" s="6">
        <v>2.94</v>
      </c>
      <c r="G148" s="6">
        <v>299</v>
      </c>
      <c r="H148" s="6">
        <v>5</v>
      </c>
      <c r="I148" s="6">
        <v>54</v>
      </c>
      <c r="J148" s="6">
        <v>10</v>
      </c>
      <c r="K148" s="6">
        <v>2.2000000000000001E-3</v>
      </c>
      <c r="L148" s="6">
        <v>103</v>
      </c>
      <c r="M148" s="6">
        <v>54</v>
      </c>
      <c r="N148" s="6">
        <v>33.375999999999998</v>
      </c>
      <c r="O148" s="6">
        <v>14.574</v>
      </c>
      <c r="P148" s="8">
        <f t="shared" si="4"/>
        <v>18.802</v>
      </c>
      <c r="R148" s="6"/>
      <c r="T148" s="6"/>
      <c r="V148" s="6"/>
      <c r="X148" s="6"/>
      <c r="Z148" s="6"/>
      <c r="AB148" s="6"/>
      <c r="AD148" s="8"/>
    </row>
    <row r="149" spans="1:30" x14ac:dyDescent="0.3">
      <c r="A149" s="6">
        <v>326</v>
      </c>
      <c r="B149" s="6">
        <v>3</v>
      </c>
      <c r="C149" s="6">
        <v>5</v>
      </c>
      <c r="D149" s="6">
        <v>163</v>
      </c>
      <c r="E149" s="6">
        <v>3.5</v>
      </c>
      <c r="F149" s="6">
        <v>2.94</v>
      </c>
      <c r="G149" s="6">
        <v>269</v>
      </c>
      <c r="H149" s="6">
        <v>5</v>
      </c>
      <c r="I149" s="6">
        <v>54</v>
      </c>
      <c r="J149" s="6">
        <v>13</v>
      </c>
      <c r="K149" s="6">
        <v>1.5E-3</v>
      </c>
      <c r="L149" s="6">
        <v>101</v>
      </c>
      <c r="M149" s="6">
        <v>62</v>
      </c>
      <c r="N149" s="6">
        <v>41.317999999999998</v>
      </c>
      <c r="O149" s="6">
        <v>3.665</v>
      </c>
      <c r="P149" s="8">
        <f t="shared" si="4"/>
        <v>37.652999999999999</v>
      </c>
      <c r="R149" s="6"/>
      <c r="T149" s="6"/>
      <c r="V149" s="6"/>
      <c r="X149" s="6"/>
      <c r="Z149" s="6"/>
      <c r="AB149" s="6"/>
      <c r="AD149" s="8"/>
    </row>
    <row r="150" spans="1:30" x14ac:dyDescent="0.3">
      <c r="A150" s="6">
        <v>310</v>
      </c>
      <c r="B150" s="6">
        <v>3</v>
      </c>
      <c r="C150" s="6">
        <v>16</v>
      </c>
      <c r="D150" s="6">
        <v>160</v>
      </c>
      <c r="E150" s="6">
        <v>6.1</v>
      </c>
      <c r="F150" s="6">
        <v>2.94</v>
      </c>
      <c r="G150" s="6">
        <v>53</v>
      </c>
      <c r="H150" s="6">
        <v>5</v>
      </c>
      <c r="I150" s="6">
        <v>64</v>
      </c>
      <c r="J150" s="6">
        <v>11</v>
      </c>
      <c r="K150" s="6">
        <v>2.5000000000000001E-3</v>
      </c>
      <c r="L150" s="6">
        <v>129</v>
      </c>
      <c r="M150" s="6">
        <v>31</v>
      </c>
      <c r="N150" s="6">
        <v>43.326000000000001</v>
      </c>
      <c r="O150" s="6">
        <v>33.582999999999998</v>
      </c>
      <c r="P150" s="8">
        <f t="shared" si="4"/>
        <v>9.7430000000000021</v>
      </c>
      <c r="R150" s="6"/>
      <c r="T150" s="6"/>
      <c r="V150" s="6"/>
      <c r="X150" s="6"/>
      <c r="Z150" s="6"/>
      <c r="AB150" s="6"/>
      <c r="AD150" s="8"/>
    </row>
    <row r="151" spans="1:30" x14ac:dyDescent="0.3">
      <c r="A151" s="6">
        <v>230</v>
      </c>
      <c r="B151" s="6">
        <v>4</v>
      </c>
      <c r="C151" s="6">
        <v>4</v>
      </c>
      <c r="D151" s="6">
        <v>150</v>
      </c>
      <c r="E151" s="6">
        <v>10</v>
      </c>
      <c r="F151" s="6">
        <v>2.94</v>
      </c>
      <c r="G151" s="6">
        <v>238</v>
      </c>
      <c r="H151" s="6">
        <v>5</v>
      </c>
      <c r="I151" s="6">
        <v>67</v>
      </c>
      <c r="J151" s="6">
        <v>16</v>
      </c>
      <c r="K151" s="6">
        <v>1.4E-3</v>
      </c>
      <c r="L151" s="6">
        <v>61</v>
      </c>
      <c r="M151" s="6">
        <v>89</v>
      </c>
      <c r="N151" s="6">
        <v>74.39</v>
      </c>
      <c r="O151" s="6">
        <v>42.036999999999999</v>
      </c>
      <c r="P151" s="8">
        <f t="shared" si="4"/>
        <v>32.353000000000002</v>
      </c>
      <c r="R151" s="6"/>
      <c r="T151" s="6"/>
      <c r="V151" s="6"/>
      <c r="X151" s="6"/>
      <c r="Z151" s="6"/>
      <c r="AB151" s="6"/>
      <c r="AD151" s="8"/>
    </row>
    <row r="152" spans="1:30" x14ac:dyDescent="0.3">
      <c r="A152" s="6">
        <v>289</v>
      </c>
      <c r="B152" s="6">
        <v>3</v>
      </c>
      <c r="C152" s="6">
        <v>6</v>
      </c>
      <c r="D152" s="6">
        <v>148</v>
      </c>
      <c r="E152" s="6">
        <v>5</v>
      </c>
      <c r="F152" s="6">
        <v>2.94</v>
      </c>
      <c r="G152" s="6">
        <v>269</v>
      </c>
      <c r="H152" s="6">
        <v>10</v>
      </c>
      <c r="I152" s="6">
        <v>71</v>
      </c>
      <c r="J152" s="6">
        <v>19</v>
      </c>
      <c r="K152" s="6">
        <v>2E-3</v>
      </c>
      <c r="L152" s="6">
        <v>68</v>
      </c>
      <c r="M152" s="6">
        <v>80</v>
      </c>
      <c r="N152" s="6">
        <v>132.749</v>
      </c>
      <c r="O152" s="6">
        <v>42.877000000000002</v>
      </c>
      <c r="P152" s="8">
        <f t="shared" si="4"/>
        <v>89.871999999999986</v>
      </c>
      <c r="R152" s="6"/>
      <c r="T152" s="6"/>
      <c r="V152" s="6"/>
      <c r="X152" s="6"/>
      <c r="Z152" s="6"/>
      <c r="AB152" s="6"/>
      <c r="AD152" s="8"/>
    </row>
    <row r="153" spans="1:30" x14ac:dyDescent="0.3">
      <c r="A153" s="6">
        <v>346</v>
      </c>
      <c r="B153" s="6">
        <v>3</v>
      </c>
      <c r="C153" s="6">
        <v>7</v>
      </c>
      <c r="D153" s="6">
        <v>165</v>
      </c>
      <c r="E153" s="6">
        <v>5</v>
      </c>
      <c r="F153" s="6">
        <v>2.94</v>
      </c>
      <c r="G153" s="6">
        <v>352</v>
      </c>
      <c r="H153" s="6">
        <v>5</v>
      </c>
      <c r="I153" s="6">
        <v>37</v>
      </c>
      <c r="J153" s="6">
        <v>19</v>
      </c>
      <c r="K153" s="6">
        <v>2E-3</v>
      </c>
      <c r="L153" s="6">
        <v>55</v>
      </c>
      <c r="M153" s="6">
        <v>110</v>
      </c>
      <c r="N153" s="6">
        <v>25.661000000000001</v>
      </c>
      <c r="O153" s="6">
        <v>4.9050000000000002</v>
      </c>
      <c r="P153" s="8">
        <f t="shared" si="4"/>
        <v>20.756</v>
      </c>
      <c r="R153" s="6"/>
      <c r="T153" s="6"/>
      <c r="V153" s="6"/>
      <c r="X153" s="6"/>
      <c r="Z153" s="6"/>
      <c r="AB153" s="6"/>
      <c r="AD153" s="8"/>
    </row>
    <row r="154" spans="1:30" x14ac:dyDescent="0.3">
      <c r="A154" s="6">
        <v>309</v>
      </c>
      <c r="B154" s="6">
        <v>3</v>
      </c>
      <c r="C154" s="6">
        <v>10</v>
      </c>
      <c r="D154" s="6">
        <v>126</v>
      </c>
      <c r="E154" s="6">
        <v>4</v>
      </c>
      <c r="F154" s="6">
        <v>2.94</v>
      </c>
      <c r="G154" s="6">
        <v>220</v>
      </c>
      <c r="H154" s="6">
        <v>10</v>
      </c>
      <c r="I154" s="6">
        <v>92</v>
      </c>
      <c r="J154" s="6">
        <v>14</v>
      </c>
      <c r="K154" s="6">
        <v>1.6999999999999999E-3</v>
      </c>
      <c r="L154" s="6">
        <v>84</v>
      </c>
      <c r="M154" s="6">
        <v>42</v>
      </c>
      <c r="N154" s="6">
        <v>67.215000000000003</v>
      </c>
      <c r="O154" s="6">
        <v>14.561</v>
      </c>
      <c r="P154" s="8">
        <f t="shared" si="4"/>
        <v>52.654000000000003</v>
      </c>
      <c r="R154" s="6"/>
      <c r="T154" s="6"/>
      <c r="V154" s="6"/>
      <c r="X154" s="6"/>
      <c r="Z154" s="6"/>
      <c r="AB154" s="6"/>
      <c r="AD154" s="8"/>
    </row>
    <row r="155" spans="1:30" x14ac:dyDescent="0.3">
      <c r="A155" s="6">
        <v>330</v>
      </c>
      <c r="B155" s="6">
        <v>3</v>
      </c>
      <c r="C155" s="6">
        <v>4</v>
      </c>
      <c r="D155" s="6">
        <v>155</v>
      </c>
      <c r="E155" s="6">
        <v>3.5</v>
      </c>
      <c r="F155" s="6">
        <v>2.94</v>
      </c>
      <c r="G155" s="6">
        <v>137</v>
      </c>
      <c r="H155" s="6">
        <v>15</v>
      </c>
      <c r="I155" s="6">
        <v>96</v>
      </c>
      <c r="J155" s="6">
        <v>11</v>
      </c>
      <c r="K155" s="6">
        <v>5.0999999999999995E-3</v>
      </c>
      <c r="L155" s="6">
        <v>81</v>
      </c>
      <c r="M155" s="6">
        <v>74</v>
      </c>
      <c r="N155" s="6">
        <v>22.873000000000001</v>
      </c>
      <c r="O155" s="6">
        <v>17.529</v>
      </c>
      <c r="P155" s="8">
        <f t="shared" si="4"/>
        <v>5.3440000000000012</v>
      </c>
      <c r="R155" s="6"/>
      <c r="T155" s="6"/>
      <c r="V155" s="6"/>
      <c r="X155" s="6"/>
      <c r="Z155" s="6"/>
      <c r="AB155" s="6"/>
      <c r="AD155" s="8"/>
    </row>
    <row r="156" spans="1:30" x14ac:dyDescent="0.3">
      <c r="A156" s="6">
        <v>360</v>
      </c>
      <c r="B156" s="6">
        <v>3</v>
      </c>
      <c r="C156" s="6">
        <v>10</v>
      </c>
      <c r="D156" s="6">
        <v>160</v>
      </c>
      <c r="E156" s="6">
        <v>4</v>
      </c>
      <c r="F156" s="6">
        <v>2.94</v>
      </c>
      <c r="G156" s="6">
        <v>220</v>
      </c>
      <c r="H156" s="6">
        <v>10</v>
      </c>
      <c r="I156" s="6">
        <v>77</v>
      </c>
      <c r="J156" s="6">
        <v>17</v>
      </c>
      <c r="K156" s="6">
        <v>2.2000000000000001E-3</v>
      </c>
      <c r="L156" s="6">
        <v>97</v>
      </c>
      <c r="M156" s="6">
        <v>63</v>
      </c>
      <c r="N156" s="6">
        <v>96.254999999999995</v>
      </c>
      <c r="O156" s="6">
        <v>45.454999999999998</v>
      </c>
      <c r="P156" s="8">
        <f t="shared" si="4"/>
        <v>50.8</v>
      </c>
      <c r="R156" s="6"/>
      <c r="T156" s="6"/>
      <c r="V156" s="6"/>
      <c r="X156" s="6"/>
      <c r="Z156" s="6"/>
      <c r="AB156" s="6"/>
      <c r="AD156" s="8"/>
    </row>
    <row r="157" spans="1:30" x14ac:dyDescent="0.3">
      <c r="A157" s="6">
        <v>300</v>
      </c>
      <c r="B157" s="6">
        <v>4</v>
      </c>
      <c r="C157" s="6">
        <v>3</v>
      </c>
      <c r="D157" s="6">
        <v>160</v>
      </c>
      <c r="E157" s="6">
        <v>4</v>
      </c>
      <c r="F157" s="6">
        <v>2.94</v>
      </c>
      <c r="G157" s="6">
        <v>115</v>
      </c>
      <c r="H157" s="6">
        <v>5</v>
      </c>
      <c r="I157" s="6">
        <v>45</v>
      </c>
      <c r="J157" s="6">
        <v>14</v>
      </c>
      <c r="K157" s="6">
        <v>2.1000000000000003E-3</v>
      </c>
      <c r="L157" s="6">
        <v>64</v>
      </c>
      <c r="M157" s="6">
        <v>96</v>
      </c>
      <c r="N157" s="6">
        <v>34.765999999999998</v>
      </c>
      <c r="O157" s="6">
        <v>18.919</v>
      </c>
      <c r="P157" s="8">
        <f t="shared" si="4"/>
        <v>15.846999999999998</v>
      </c>
      <c r="R157" s="6"/>
      <c r="T157" s="6"/>
      <c r="V157" s="6"/>
      <c r="X157" s="6"/>
      <c r="Z157" s="6"/>
      <c r="AB157" s="6"/>
      <c r="AD157" s="8"/>
    </row>
    <row r="158" spans="1:30" x14ac:dyDescent="0.3">
      <c r="A158" s="6">
        <v>270</v>
      </c>
      <c r="B158" s="6">
        <v>3</v>
      </c>
      <c r="C158" s="6">
        <v>6</v>
      </c>
      <c r="D158" s="6">
        <v>148</v>
      </c>
      <c r="E158" s="6">
        <v>2.4</v>
      </c>
      <c r="F158" s="6">
        <v>2.94</v>
      </c>
      <c r="G158" s="6">
        <v>256</v>
      </c>
      <c r="H158" s="6">
        <v>7</v>
      </c>
      <c r="I158" s="6">
        <v>40</v>
      </c>
      <c r="J158" s="6">
        <v>17</v>
      </c>
      <c r="K158" s="6">
        <v>2.5000000000000001E-3</v>
      </c>
      <c r="L158" s="6">
        <v>94</v>
      </c>
      <c r="M158" s="6">
        <v>54</v>
      </c>
      <c r="N158" s="6">
        <v>50.927999999999997</v>
      </c>
      <c r="O158" s="6">
        <v>15.417</v>
      </c>
      <c r="P158" s="8">
        <f t="shared" si="4"/>
        <v>35.510999999999996</v>
      </c>
      <c r="R158" s="6"/>
      <c r="T158" s="6"/>
      <c r="V158" s="6"/>
      <c r="X158" s="6"/>
      <c r="Z158" s="6"/>
      <c r="AB158" s="6"/>
      <c r="AD158" s="8"/>
    </row>
    <row r="159" spans="1:30" x14ac:dyDescent="0.3">
      <c r="A159" s="6">
        <v>200</v>
      </c>
      <c r="B159" s="6">
        <v>3</v>
      </c>
      <c r="C159" s="6">
        <v>3</v>
      </c>
      <c r="D159" s="6">
        <v>156</v>
      </c>
      <c r="E159" s="6">
        <v>4</v>
      </c>
      <c r="F159" s="6">
        <v>2.94</v>
      </c>
      <c r="G159" s="6">
        <v>256</v>
      </c>
      <c r="H159" s="6">
        <v>7</v>
      </c>
      <c r="I159" s="6">
        <v>53</v>
      </c>
      <c r="J159" s="6">
        <v>19</v>
      </c>
      <c r="K159" s="6">
        <v>1.8E-3</v>
      </c>
      <c r="L159" s="6">
        <v>81</v>
      </c>
      <c r="M159" s="6">
        <v>75</v>
      </c>
      <c r="N159" s="6">
        <v>75.986999999999995</v>
      </c>
      <c r="O159" s="6">
        <v>18.495000000000001</v>
      </c>
      <c r="P159" s="8">
        <f t="shared" si="4"/>
        <v>57.49199999999999</v>
      </c>
      <c r="R159" s="6"/>
      <c r="T159" s="6"/>
      <c r="V159" s="6"/>
      <c r="X159" s="6"/>
      <c r="Z159" s="6"/>
      <c r="AB159" s="6"/>
      <c r="AD159" s="8"/>
    </row>
    <row r="160" spans="1:30" x14ac:dyDescent="0.3">
      <c r="A160" s="6">
        <v>296</v>
      </c>
      <c r="B160" s="6">
        <v>4</v>
      </c>
      <c r="C160" s="6">
        <v>8</v>
      </c>
      <c r="D160" s="6">
        <v>135</v>
      </c>
      <c r="E160" s="6">
        <v>4.7</v>
      </c>
      <c r="F160" s="6">
        <v>2.94</v>
      </c>
      <c r="G160" s="6">
        <v>284</v>
      </c>
      <c r="H160" s="6">
        <v>3</v>
      </c>
      <c r="I160" s="6">
        <v>46</v>
      </c>
      <c r="J160" s="6">
        <v>16</v>
      </c>
      <c r="K160" s="6">
        <v>1E-3</v>
      </c>
      <c r="L160" s="6">
        <v>51</v>
      </c>
      <c r="M160" s="6">
        <v>84</v>
      </c>
      <c r="N160" s="6">
        <v>20.556000000000001</v>
      </c>
      <c r="O160" s="6">
        <v>6.1470000000000002</v>
      </c>
      <c r="P160" s="8">
        <f t="shared" si="4"/>
        <v>14.409000000000001</v>
      </c>
      <c r="R160" s="6"/>
      <c r="T160" s="6"/>
      <c r="V160" s="6"/>
      <c r="X160" s="6"/>
      <c r="Z160" s="6"/>
      <c r="AB160" s="6"/>
      <c r="AD160" s="8"/>
    </row>
    <row r="161" spans="1:30" x14ac:dyDescent="0.3">
      <c r="A161" s="6">
        <v>270</v>
      </c>
      <c r="B161" s="6">
        <v>3</v>
      </c>
      <c r="C161" s="6">
        <v>4</v>
      </c>
      <c r="D161" s="6">
        <v>155</v>
      </c>
      <c r="E161" s="6">
        <v>4.5</v>
      </c>
      <c r="F161" s="6">
        <v>2.94</v>
      </c>
      <c r="G161" s="6">
        <v>17</v>
      </c>
      <c r="H161" s="6">
        <v>7</v>
      </c>
      <c r="I161" s="6">
        <v>58</v>
      </c>
      <c r="J161" s="6">
        <v>10</v>
      </c>
      <c r="K161" s="6">
        <v>3.3E-3</v>
      </c>
      <c r="L161" s="6">
        <v>90</v>
      </c>
      <c r="M161" s="6">
        <v>65</v>
      </c>
      <c r="N161" s="6">
        <v>17.385999999999999</v>
      </c>
      <c r="O161" s="6">
        <v>13.582000000000001</v>
      </c>
      <c r="P161" s="8">
        <f t="shared" si="4"/>
        <v>3.8039999999999985</v>
      </c>
      <c r="R161" s="6"/>
      <c r="T161" s="6"/>
      <c r="V161" s="6"/>
      <c r="X161" s="6"/>
      <c r="Z161" s="6"/>
      <c r="AB161" s="6"/>
      <c r="AD161" s="8"/>
    </row>
    <row r="162" spans="1:30" x14ac:dyDescent="0.3">
      <c r="A162" s="6">
        <v>310</v>
      </c>
      <c r="B162" s="6">
        <v>3</v>
      </c>
      <c r="C162" s="6">
        <v>4</v>
      </c>
      <c r="D162" s="6">
        <v>165</v>
      </c>
      <c r="E162" s="6">
        <v>2</v>
      </c>
      <c r="F162" s="6">
        <v>2.94</v>
      </c>
      <c r="G162" s="6">
        <v>22</v>
      </c>
      <c r="H162" s="6">
        <v>17</v>
      </c>
      <c r="I162" s="6">
        <v>86</v>
      </c>
      <c r="J162" s="6">
        <v>15</v>
      </c>
      <c r="K162" s="6">
        <v>3.3999999999999998E-3</v>
      </c>
      <c r="L162" s="6">
        <v>51</v>
      </c>
      <c r="M162" s="6">
        <v>114</v>
      </c>
      <c r="N162" s="6">
        <v>24.940999999999999</v>
      </c>
      <c r="O162" s="6">
        <v>19.356999999999999</v>
      </c>
      <c r="P162" s="8">
        <f t="shared" ref="P162:P186" si="5">N162-O162</f>
        <v>5.5839999999999996</v>
      </c>
      <c r="R162" s="6"/>
      <c r="T162" s="6"/>
      <c r="V162" s="6"/>
      <c r="X162" s="6"/>
      <c r="Z162" s="6"/>
      <c r="AB162" s="6"/>
      <c r="AD162" s="8"/>
    </row>
    <row r="163" spans="1:30" x14ac:dyDescent="0.3">
      <c r="A163" s="6">
        <v>230</v>
      </c>
      <c r="B163" s="6">
        <v>3</v>
      </c>
      <c r="C163" s="6">
        <v>5</v>
      </c>
      <c r="D163" s="6">
        <v>164</v>
      </c>
      <c r="E163" s="6">
        <v>2.5</v>
      </c>
      <c r="F163" s="6">
        <v>2.94</v>
      </c>
      <c r="G163" s="6">
        <v>256</v>
      </c>
      <c r="H163" s="6">
        <v>7</v>
      </c>
      <c r="I163" s="6">
        <v>65</v>
      </c>
      <c r="J163" s="6">
        <v>14</v>
      </c>
      <c r="K163" s="6">
        <v>2E-3</v>
      </c>
      <c r="L163" s="6">
        <v>109</v>
      </c>
      <c r="M163" s="6">
        <v>55</v>
      </c>
      <c r="N163" s="6">
        <v>87.724000000000004</v>
      </c>
      <c r="O163" s="6">
        <v>27.88</v>
      </c>
      <c r="P163" s="8">
        <f t="shared" si="5"/>
        <v>59.844000000000008</v>
      </c>
      <c r="R163" s="6"/>
      <c r="T163" s="6"/>
      <c r="V163" s="6"/>
      <c r="X163" s="6"/>
      <c r="Z163" s="6"/>
      <c r="AB163" s="6"/>
      <c r="AD163" s="8"/>
    </row>
    <row r="164" spans="1:30" x14ac:dyDescent="0.3">
      <c r="A164" s="6">
        <v>300</v>
      </c>
      <c r="B164" s="6">
        <v>3</v>
      </c>
      <c r="C164" s="6">
        <v>11</v>
      </c>
      <c r="D164" s="6">
        <v>160</v>
      </c>
      <c r="E164" s="6">
        <v>4</v>
      </c>
      <c r="F164" s="6">
        <v>2.94</v>
      </c>
      <c r="G164" s="6">
        <v>8</v>
      </c>
      <c r="H164" s="6">
        <v>10</v>
      </c>
      <c r="I164" s="6">
        <v>73</v>
      </c>
      <c r="J164" s="6">
        <v>18</v>
      </c>
      <c r="K164" s="6">
        <v>2.2000000000000001E-3</v>
      </c>
      <c r="L164" s="6">
        <v>98</v>
      </c>
      <c r="M164" s="6">
        <v>62</v>
      </c>
      <c r="N164" s="6">
        <v>111.973</v>
      </c>
      <c r="O164" s="6">
        <v>55.054000000000002</v>
      </c>
      <c r="P164" s="8">
        <f t="shared" si="5"/>
        <v>56.918999999999997</v>
      </c>
      <c r="R164" s="6"/>
      <c r="T164" s="6"/>
      <c r="V164" s="6"/>
      <c r="X164" s="6"/>
      <c r="Z164" s="6"/>
      <c r="AB164" s="6"/>
      <c r="AD164" s="8"/>
    </row>
    <row r="165" spans="1:30" x14ac:dyDescent="0.3">
      <c r="A165" s="6">
        <v>290</v>
      </c>
      <c r="B165" s="6">
        <v>3</v>
      </c>
      <c r="C165" s="6">
        <v>5</v>
      </c>
      <c r="D165" s="6">
        <v>150</v>
      </c>
      <c r="E165" s="6">
        <v>7</v>
      </c>
      <c r="F165" s="6">
        <v>2.94</v>
      </c>
      <c r="G165" s="6">
        <v>223</v>
      </c>
      <c r="H165" s="6">
        <v>5</v>
      </c>
      <c r="I165" s="6">
        <v>55</v>
      </c>
      <c r="J165" s="6">
        <v>13</v>
      </c>
      <c r="K165" s="6">
        <v>1.9E-3</v>
      </c>
      <c r="L165" s="6">
        <v>101</v>
      </c>
      <c r="M165" s="6">
        <v>49</v>
      </c>
      <c r="N165" s="6">
        <v>65.772000000000006</v>
      </c>
      <c r="O165" s="6">
        <v>7.47</v>
      </c>
      <c r="P165" s="8">
        <f t="shared" si="5"/>
        <v>58.302000000000007</v>
      </c>
      <c r="R165" s="6"/>
      <c r="T165" s="6"/>
      <c r="V165" s="6"/>
      <c r="X165" s="6"/>
      <c r="Z165" s="6"/>
      <c r="AB165" s="6"/>
      <c r="AD165" s="8"/>
    </row>
    <row r="166" spans="1:30" x14ac:dyDescent="0.3">
      <c r="A166" s="6">
        <v>320</v>
      </c>
      <c r="B166" s="6">
        <v>3</v>
      </c>
      <c r="C166" s="6">
        <v>7</v>
      </c>
      <c r="D166" s="6">
        <v>155</v>
      </c>
      <c r="E166" s="6">
        <v>2.8</v>
      </c>
      <c r="F166" s="6">
        <v>2.94</v>
      </c>
      <c r="G166" s="6">
        <v>346</v>
      </c>
      <c r="H166" s="6">
        <v>15</v>
      </c>
      <c r="I166" s="6">
        <v>150</v>
      </c>
      <c r="J166" s="6">
        <v>9</v>
      </c>
      <c r="K166" s="6">
        <v>4.0000000000000001E-3</v>
      </c>
      <c r="L166" s="6">
        <v>79</v>
      </c>
      <c r="M166" s="6">
        <v>76</v>
      </c>
      <c r="N166" s="6">
        <v>33.628999999999998</v>
      </c>
      <c r="O166" s="6">
        <v>18.663</v>
      </c>
      <c r="P166" s="8">
        <f t="shared" si="5"/>
        <v>14.965999999999998</v>
      </c>
      <c r="R166" s="6"/>
      <c r="T166" s="6"/>
      <c r="V166" s="6"/>
      <c r="X166" s="6"/>
      <c r="Z166" s="6"/>
      <c r="AB166" s="6"/>
      <c r="AD166" s="8"/>
    </row>
    <row r="167" spans="1:30" x14ac:dyDescent="0.3">
      <c r="A167" s="6">
        <v>490</v>
      </c>
      <c r="B167" s="6">
        <v>4</v>
      </c>
      <c r="C167" s="6">
        <v>4</v>
      </c>
      <c r="D167" s="6">
        <v>158</v>
      </c>
      <c r="E167" s="6">
        <v>2.7</v>
      </c>
      <c r="F167" s="6">
        <v>2.94</v>
      </c>
      <c r="G167" s="6">
        <v>245</v>
      </c>
      <c r="H167" s="6">
        <v>1</v>
      </c>
      <c r="I167" s="6">
        <v>46</v>
      </c>
      <c r="J167" s="6">
        <v>9</v>
      </c>
      <c r="K167" s="6">
        <v>5.9999999999999995E-4</v>
      </c>
      <c r="L167" s="6">
        <v>43</v>
      </c>
      <c r="M167" s="6">
        <v>115</v>
      </c>
      <c r="N167" s="6">
        <v>25.78</v>
      </c>
      <c r="O167" s="6">
        <v>20.192</v>
      </c>
      <c r="P167" s="8">
        <f t="shared" si="5"/>
        <v>5.588000000000001</v>
      </c>
      <c r="R167" s="6"/>
      <c r="T167" s="6"/>
      <c r="V167" s="6"/>
      <c r="X167" s="6"/>
      <c r="Z167" s="6"/>
      <c r="AB167" s="6"/>
      <c r="AD167" s="8"/>
    </row>
    <row r="168" spans="1:30" x14ac:dyDescent="0.3">
      <c r="A168" s="6">
        <v>513</v>
      </c>
      <c r="B168" s="6">
        <v>5</v>
      </c>
      <c r="C168" s="6">
        <v>2</v>
      </c>
      <c r="D168" s="6">
        <v>160</v>
      </c>
      <c r="E168" s="6">
        <v>4.7</v>
      </c>
      <c r="F168" s="6">
        <v>2.94</v>
      </c>
      <c r="G168" s="6">
        <v>291</v>
      </c>
      <c r="H168" s="6">
        <v>7</v>
      </c>
      <c r="I168" s="6">
        <v>66</v>
      </c>
      <c r="J168" s="6">
        <v>10</v>
      </c>
      <c r="K168" s="6">
        <v>3.0000000000000001E-3</v>
      </c>
      <c r="L168" s="6">
        <v>74</v>
      </c>
      <c r="M168" s="6">
        <v>86</v>
      </c>
      <c r="N168" s="6">
        <v>108.813</v>
      </c>
      <c r="O168" s="6">
        <v>43.259</v>
      </c>
      <c r="P168" s="8">
        <f t="shared" si="5"/>
        <v>65.554000000000002</v>
      </c>
      <c r="R168" s="6"/>
      <c r="T168" s="6"/>
      <c r="V168" s="6"/>
      <c r="X168" s="6"/>
      <c r="Z168" s="6"/>
      <c r="AB168" s="6"/>
      <c r="AD168" s="8"/>
    </row>
    <row r="169" spans="1:30" x14ac:dyDescent="0.3">
      <c r="A169" s="6">
        <v>420</v>
      </c>
      <c r="B169" s="6">
        <v>3</v>
      </c>
      <c r="C169" s="6">
        <v>8</v>
      </c>
      <c r="D169" s="6">
        <v>157</v>
      </c>
      <c r="E169" s="6">
        <v>2</v>
      </c>
      <c r="F169" s="6">
        <v>2.94</v>
      </c>
      <c r="G169" s="6">
        <v>137</v>
      </c>
      <c r="H169" s="6">
        <v>15</v>
      </c>
      <c r="I169" s="6">
        <v>107</v>
      </c>
      <c r="J169" s="6">
        <v>12</v>
      </c>
      <c r="K169" s="6">
        <v>3.3E-3</v>
      </c>
      <c r="L169" s="6">
        <v>73</v>
      </c>
      <c r="M169" s="6">
        <v>84</v>
      </c>
      <c r="N169" s="6">
        <v>20.890999999999998</v>
      </c>
      <c r="O169" s="6">
        <v>17.428999999999998</v>
      </c>
      <c r="P169" s="8">
        <f t="shared" si="5"/>
        <v>3.4619999999999997</v>
      </c>
      <c r="R169" s="6"/>
      <c r="T169" s="6"/>
      <c r="V169" s="6"/>
      <c r="X169" s="6"/>
      <c r="Z169" s="6"/>
      <c r="AB169" s="6"/>
      <c r="AD169" s="8"/>
    </row>
    <row r="170" spans="1:30" x14ac:dyDescent="0.3">
      <c r="A170" s="6">
        <v>510</v>
      </c>
      <c r="B170" s="6">
        <v>10</v>
      </c>
      <c r="C170" s="6">
        <v>6</v>
      </c>
      <c r="D170" s="6">
        <v>145</v>
      </c>
      <c r="E170" s="6">
        <v>2</v>
      </c>
      <c r="F170" s="6">
        <v>2.94</v>
      </c>
      <c r="G170" s="6">
        <v>41</v>
      </c>
      <c r="H170" s="6">
        <v>10</v>
      </c>
      <c r="I170" s="6">
        <v>60</v>
      </c>
      <c r="J170" s="6">
        <v>14</v>
      </c>
      <c r="K170" s="6">
        <v>3.3999999999999998E-3</v>
      </c>
      <c r="L170" s="6">
        <v>58</v>
      </c>
      <c r="M170" s="6">
        <v>87</v>
      </c>
      <c r="N170" s="6">
        <v>96.727999999999994</v>
      </c>
      <c r="O170" s="6">
        <v>45.222999999999999</v>
      </c>
      <c r="P170" s="8">
        <f t="shared" si="5"/>
        <v>51.504999999999995</v>
      </c>
      <c r="R170" s="6"/>
      <c r="T170" s="6"/>
      <c r="V170" s="6"/>
      <c r="X170" s="6"/>
      <c r="Z170" s="6"/>
      <c r="AB170" s="6"/>
      <c r="AD170" s="8"/>
    </row>
    <row r="171" spans="1:30" x14ac:dyDescent="0.3">
      <c r="A171" s="6">
        <v>650</v>
      </c>
      <c r="B171" s="6">
        <v>3</v>
      </c>
      <c r="C171" s="6">
        <v>6</v>
      </c>
      <c r="D171" s="6">
        <v>152</v>
      </c>
      <c r="E171" s="6">
        <v>3.5</v>
      </c>
      <c r="F171" s="6">
        <v>2.94</v>
      </c>
      <c r="G171" s="6">
        <v>155</v>
      </c>
      <c r="H171" s="6">
        <v>7</v>
      </c>
      <c r="I171" s="6">
        <v>69</v>
      </c>
      <c r="J171" s="6">
        <v>13</v>
      </c>
      <c r="K171" s="6">
        <v>2.2000000000000001E-3</v>
      </c>
      <c r="L171" s="6">
        <v>101</v>
      </c>
      <c r="M171" s="6">
        <v>51</v>
      </c>
      <c r="N171" s="6">
        <v>41.613</v>
      </c>
      <c r="O171" s="6">
        <v>12.193</v>
      </c>
      <c r="P171" s="8">
        <f t="shared" si="5"/>
        <v>29.42</v>
      </c>
      <c r="R171" s="6"/>
      <c r="T171" s="6"/>
      <c r="V171" s="6"/>
      <c r="X171" s="6"/>
      <c r="Z171" s="6"/>
      <c r="AB171" s="6"/>
      <c r="AD171" s="8"/>
    </row>
    <row r="172" spans="1:30" x14ac:dyDescent="0.3">
      <c r="A172" s="6">
        <v>640</v>
      </c>
      <c r="B172" s="6">
        <v>10</v>
      </c>
      <c r="C172" s="6">
        <v>2</v>
      </c>
      <c r="D172" s="6">
        <v>165</v>
      </c>
      <c r="E172" s="6">
        <v>3.5</v>
      </c>
      <c r="F172" s="6">
        <v>2.94</v>
      </c>
      <c r="G172" s="6">
        <v>293</v>
      </c>
      <c r="H172" s="6">
        <v>6</v>
      </c>
      <c r="I172" s="6">
        <v>45</v>
      </c>
      <c r="J172" s="6">
        <v>15</v>
      </c>
      <c r="K172" s="6">
        <v>2.5000000000000001E-3</v>
      </c>
      <c r="L172" s="6">
        <v>56</v>
      </c>
      <c r="M172" s="6">
        <v>109</v>
      </c>
      <c r="N172" s="6">
        <v>126.303</v>
      </c>
      <c r="O172" s="6">
        <v>17.481999999999999</v>
      </c>
      <c r="P172" s="8">
        <f t="shared" si="5"/>
        <v>108.821</v>
      </c>
      <c r="R172" s="6"/>
      <c r="T172" s="6"/>
      <c r="V172" s="6"/>
      <c r="X172" s="6"/>
      <c r="Z172" s="6"/>
      <c r="AB172" s="6"/>
      <c r="AD172" s="8"/>
    </row>
    <row r="173" spans="1:30" x14ac:dyDescent="0.3">
      <c r="A173" s="6">
        <v>507</v>
      </c>
      <c r="B173" s="6">
        <v>9</v>
      </c>
      <c r="C173" s="6">
        <v>8</v>
      </c>
      <c r="D173" s="6">
        <v>160</v>
      </c>
      <c r="E173" s="6">
        <v>4.4000000000000004</v>
      </c>
      <c r="F173" s="6">
        <v>2.94</v>
      </c>
      <c r="G173" s="6">
        <v>90</v>
      </c>
      <c r="H173" s="6">
        <v>7</v>
      </c>
      <c r="I173" s="6">
        <v>66</v>
      </c>
      <c r="J173" s="6">
        <v>12</v>
      </c>
      <c r="K173" s="6">
        <v>2.7000000000000001E-3</v>
      </c>
      <c r="L173" s="6">
        <v>72</v>
      </c>
      <c r="M173" s="6">
        <v>88</v>
      </c>
      <c r="N173" s="6">
        <v>51.203000000000003</v>
      </c>
      <c r="O173" s="6">
        <v>14.819000000000001</v>
      </c>
      <c r="P173" s="8">
        <f t="shared" si="5"/>
        <v>36.384</v>
      </c>
      <c r="R173" s="6"/>
      <c r="T173" s="6"/>
      <c r="V173" s="6"/>
      <c r="X173" s="6"/>
      <c r="Z173" s="6"/>
      <c r="AB173" s="6"/>
      <c r="AD173" s="8"/>
    </row>
    <row r="174" spans="1:30" x14ac:dyDescent="0.3">
      <c r="A174" s="6">
        <v>480</v>
      </c>
      <c r="B174" s="6">
        <v>7</v>
      </c>
      <c r="C174" s="6">
        <v>3</v>
      </c>
      <c r="D174" s="6">
        <v>150</v>
      </c>
      <c r="E174" s="6">
        <v>3</v>
      </c>
      <c r="F174" s="6">
        <v>2.94</v>
      </c>
      <c r="G174" s="6">
        <v>318</v>
      </c>
      <c r="H174" s="6">
        <v>5</v>
      </c>
      <c r="I174" s="6">
        <v>44</v>
      </c>
      <c r="J174" s="6">
        <v>17</v>
      </c>
      <c r="K174" s="6">
        <v>2.3999999999999998E-3</v>
      </c>
      <c r="L174" s="6">
        <v>41</v>
      </c>
      <c r="M174" s="6">
        <v>109</v>
      </c>
      <c r="N174" s="6">
        <v>103.563</v>
      </c>
      <c r="O174" s="6">
        <v>22.317</v>
      </c>
      <c r="P174" s="8">
        <f t="shared" si="5"/>
        <v>81.246000000000009</v>
      </c>
      <c r="R174" s="6"/>
      <c r="T174" s="6"/>
      <c r="V174" s="6"/>
      <c r="X174" s="6"/>
      <c r="Z174" s="6"/>
      <c r="AB174" s="6"/>
      <c r="AD174" s="8"/>
    </row>
    <row r="175" spans="1:30" x14ac:dyDescent="0.3">
      <c r="A175" s="6">
        <v>509</v>
      </c>
      <c r="B175" s="6">
        <v>10</v>
      </c>
      <c r="C175" s="6">
        <v>10</v>
      </c>
      <c r="D175" s="6">
        <v>169</v>
      </c>
      <c r="E175" s="6">
        <v>0.9</v>
      </c>
      <c r="F175" s="6">
        <v>2.94</v>
      </c>
      <c r="G175" s="6">
        <v>41</v>
      </c>
      <c r="H175" s="6">
        <v>10</v>
      </c>
      <c r="I175" s="6">
        <v>79</v>
      </c>
      <c r="J175" s="6">
        <v>15</v>
      </c>
      <c r="K175" s="6">
        <v>2.5000000000000001E-3</v>
      </c>
      <c r="L175" s="6">
        <v>96</v>
      </c>
      <c r="M175" s="6">
        <v>73</v>
      </c>
      <c r="N175" s="6">
        <v>144.28100000000001</v>
      </c>
      <c r="O175" s="6">
        <v>35.052999999999997</v>
      </c>
      <c r="P175" s="8">
        <f t="shared" si="5"/>
        <v>109.22800000000001</v>
      </c>
      <c r="R175" s="6"/>
      <c r="T175" s="6"/>
      <c r="V175" s="6"/>
      <c r="X175" s="6"/>
      <c r="Z175" s="6"/>
      <c r="AB175" s="6"/>
      <c r="AD175" s="8"/>
    </row>
    <row r="176" spans="1:30" x14ac:dyDescent="0.3">
      <c r="A176" s="6">
        <v>478</v>
      </c>
      <c r="B176" s="6">
        <v>10</v>
      </c>
      <c r="C176" s="6">
        <v>16</v>
      </c>
      <c r="D176" s="6">
        <v>169</v>
      </c>
      <c r="E176" s="6">
        <v>1.3</v>
      </c>
      <c r="F176" s="6">
        <v>2.94</v>
      </c>
      <c r="G176" s="6">
        <v>142</v>
      </c>
      <c r="H176" s="6">
        <v>15</v>
      </c>
      <c r="I176" s="6">
        <v>110</v>
      </c>
      <c r="J176" s="6">
        <v>16</v>
      </c>
      <c r="K176" s="6">
        <v>2.5000000000000001E-3</v>
      </c>
      <c r="L176" s="6">
        <v>120</v>
      </c>
      <c r="M176" s="6">
        <v>49</v>
      </c>
      <c r="N176" s="6">
        <v>240.89099999999999</v>
      </c>
      <c r="O176" s="6">
        <v>59.067</v>
      </c>
      <c r="P176" s="8">
        <f t="shared" si="5"/>
        <v>181.82399999999998</v>
      </c>
      <c r="R176" s="6"/>
      <c r="T176" s="6"/>
      <c r="V176" s="6"/>
      <c r="X176" s="6"/>
      <c r="Z176" s="6"/>
      <c r="AB176" s="6"/>
      <c r="AD176" s="8"/>
    </row>
    <row r="177" spans="1:30" x14ac:dyDescent="0.3">
      <c r="A177" s="6">
        <v>500</v>
      </c>
      <c r="B177" s="6">
        <v>10</v>
      </c>
      <c r="C177" s="6">
        <v>3</v>
      </c>
      <c r="D177" s="6">
        <v>148</v>
      </c>
      <c r="E177" s="6">
        <v>13.1</v>
      </c>
      <c r="F177" s="6">
        <v>2.94</v>
      </c>
      <c r="G177" s="6">
        <v>114</v>
      </c>
      <c r="H177" s="6">
        <v>10</v>
      </c>
      <c r="I177" s="6">
        <v>89</v>
      </c>
      <c r="J177" s="6">
        <v>16</v>
      </c>
      <c r="K177" s="6">
        <v>2.2000000000000001E-3</v>
      </c>
      <c r="L177" s="6">
        <v>79</v>
      </c>
      <c r="M177" s="6">
        <v>69</v>
      </c>
      <c r="N177" s="6">
        <v>298.54399999999998</v>
      </c>
      <c r="O177" s="6">
        <v>36.529000000000003</v>
      </c>
      <c r="P177" s="8">
        <f t="shared" si="5"/>
        <v>262.01499999999999</v>
      </c>
      <c r="R177" s="6"/>
      <c r="T177" s="6"/>
      <c r="V177" s="6"/>
      <c r="X177" s="6"/>
      <c r="Z177" s="6"/>
      <c r="AB177" s="6"/>
      <c r="AD177" s="8"/>
    </row>
    <row r="178" spans="1:30" x14ac:dyDescent="0.3">
      <c r="A178" s="6">
        <v>470</v>
      </c>
      <c r="B178" s="6">
        <v>10</v>
      </c>
      <c r="C178" s="6">
        <v>6</v>
      </c>
      <c r="D178" s="6">
        <v>165</v>
      </c>
      <c r="E178" s="6">
        <v>2.8</v>
      </c>
      <c r="F178" s="6">
        <v>2.94</v>
      </c>
      <c r="G178" s="6">
        <v>221</v>
      </c>
      <c r="H178" s="6">
        <v>5</v>
      </c>
      <c r="I178" s="6">
        <v>46</v>
      </c>
      <c r="J178" s="6">
        <v>14</v>
      </c>
      <c r="K178" s="6">
        <v>1.6999999999999999E-3</v>
      </c>
      <c r="L178" s="6">
        <v>99</v>
      </c>
      <c r="M178" s="6">
        <v>66</v>
      </c>
      <c r="N178" s="6">
        <v>157.08699999999999</v>
      </c>
      <c r="O178" s="6">
        <v>13.241</v>
      </c>
      <c r="P178" s="8">
        <f t="shared" si="5"/>
        <v>143.846</v>
      </c>
      <c r="R178" s="6"/>
      <c r="T178" s="6"/>
      <c r="V178" s="6"/>
      <c r="X178" s="6"/>
      <c r="Z178" s="6"/>
      <c r="AB178" s="6"/>
      <c r="AD178" s="8"/>
    </row>
    <row r="179" spans="1:30" x14ac:dyDescent="0.3">
      <c r="A179" s="6">
        <v>370</v>
      </c>
      <c r="B179" s="6">
        <v>8</v>
      </c>
      <c r="C179" s="6">
        <v>10</v>
      </c>
      <c r="D179" s="6">
        <v>150</v>
      </c>
      <c r="E179" s="6">
        <v>1.3</v>
      </c>
      <c r="F179" s="6">
        <v>2.94</v>
      </c>
      <c r="G179" s="6">
        <v>221</v>
      </c>
      <c r="H179" s="6">
        <v>7</v>
      </c>
      <c r="I179" s="6">
        <v>48</v>
      </c>
      <c r="J179" s="6">
        <v>18</v>
      </c>
      <c r="K179" s="6">
        <v>2E-3</v>
      </c>
      <c r="L179" s="6">
        <v>44</v>
      </c>
      <c r="M179" s="6">
        <v>106</v>
      </c>
      <c r="N179" s="6">
        <v>140.136</v>
      </c>
      <c r="O179" s="6">
        <v>26.725000000000001</v>
      </c>
      <c r="P179" s="8">
        <f t="shared" si="5"/>
        <v>113.411</v>
      </c>
      <c r="R179" s="6"/>
      <c r="T179" s="6"/>
      <c r="V179" s="6"/>
      <c r="X179" s="6"/>
      <c r="Z179" s="6"/>
      <c r="AB179" s="6"/>
      <c r="AD179" s="8"/>
    </row>
    <row r="180" spans="1:30" x14ac:dyDescent="0.3">
      <c r="A180" s="6">
        <v>480</v>
      </c>
      <c r="B180" s="6">
        <v>11</v>
      </c>
      <c r="C180" s="6">
        <v>4</v>
      </c>
      <c r="D180" s="6">
        <v>150</v>
      </c>
      <c r="E180" s="6">
        <v>1.5</v>
      </c>
      <c r="F180" s="6">
        <v>2.94</v>
      </c>
      <c r="G180" s="6">
        <v>254</v>
      </c>
      <c r="H180" s="6">
        <v>0</v>
      </c>
      <c r="I180" s="6">
        <v>51</v>
      </c>
      <c r="J180" s="6">
        <v>15</v>
      </c>
      <c r="K180" s="6">
        <v>1.9E-3</v>
      </c>
      <c r="L180" s="6">
        <v>118</v>
      </c>
      <c r="M180" s="6">
        <v>32</v>
      </c>
      <c r="N180" s="6">
        <v>87.989000000000004</v>
      </c>
      <c r="O180" s="6">
        <v>7.3559999999999999</v>
      </c>
      <c r="P180" s="8">
        <f t="shared" si="5"/>
        <v>80.63300000000001</v>
      </c>
      <c r="R180" s="6"/>
      <c r="T180" s="6"/>
      <c r="V180" s="6"/>
      <c r="X180" s="6"/>
      <c r="Z180" s="6"/>
      <c r="AB180" s="6"/>
      <c r="AD180" s="8"/>
    </row>
    <row r="181" spans="1:30" x14ac:dyDescent="0.3">
      <c r="A181" s="6">
        <v>287</v>
      </c>
      <c r="B181" s="6">
        <v>3</v>
      </c>
      <c r="C181" s="6">
        <v>5</v>
      </c>
      <c r="D181" s="6">
        <v>180</v>
      </c>
      <c r="E181" s="6">
        <v>2.5</v>
      </c>
      <c r="F181" s="6">
        <v>2.94</v>
      </c>
      <c r="G181" s="6">
        <v>349</v>
      </c>
      <c r="H181" s="6">
        <v>5</v>
      </c>
      <c r="I181" s="6">
        <v>57</v>
      </c>
      <c r="J181" s="6">
        <v>12</v>
      </c>
      <c r="K181" s="6">
        <v>2.3E-3</v>
      </c>
      <c r="L181" s="6">
        <v>103</v>
      </c>
      <c r="M181" s="6">
        <v>77</v>
      </c>
      <c r="N181" s="6">
        <v>59.249000000000002</v>
      </c>
      <c r="O181" s="6">
        <v>16.016999999999999</v>
      </c>
      <c r="P181" s="8">
        <f t="shared" si="5"/>
        <v>43.231999999999999</v>
      </c>
      <c r="R181" s="6"/>
      <c r="T181" s="6"/>
      <c r="V181" s="6"/>
      <c r="X181" s="6"/>
      <c r="Z181" s="6"/>
      <c r="AB181" s="6"/>
      <c r="AD181" s="8"/>
    </row>
    <row r="182" spans="1:30" x14ac:dyDescent="0.3">
      <c r="A182" s="6">
        <v>170</v>
      </c>
      <c r="B182" s="6">
        <v>4</v>
      </c>
      <c r="C182" s="6">
        <v>5</v>
      </c>
      <c r="D182" s="6">
        <v>150</v>
      </c>
      <c r="E182" s="6">
        <v>2.5</v>
      </c>
      <c r="F182" s="6">
        <v>2.94</v>
      </c>
      <c r="G182" s="6">
        <v>299</v>
      </c>
      <c r="H182" s="6">
        <v>5</v>
      </c>
      <c r="I182" s="6">
        <v>53</v>
      </c>
      <c r="J182" s="6">
        <v>11</v>
      </c>
      <c r="K182" s="6">
        <v>2.3E-3</v>
      </c>
      <c r="L182" s="6">
        <v>75</v>
      </c>
      <c r="M182" s="6">
        <v>75</v>
      </c>
      <c r="N182" s="6">
        <v>26.038</v>
      </c>
      <c r="O182" s="6">
        <v>11.792999999999999</v>
      </c>
      <c r="P182" s="8">
        <f t="shared" si="5"/>
        <v>14.245000000000001</v>
      </c>
      <c r="R182" s="6"/>
      <c r="T182" s="6"/>
      <c r="V182" s="6"/>
      <c r="X182" s="6"/>
      <c r="Z182" s="6"/>
      <c r="AB182" s="6"/>
      <c r="AD182" s="8"/>
    </row>
    <row r="183" spans="1:30" x14ac:dyDescent="0.3">
      <c r="A183" s="6">
        <v>569</v>
      </c>
      <c r="B183" s="6">
        <v>11</v>
      </c>
      <c r="C183" s="6">
        <v>10</v>
      </c>
      <c r="D183" s="6">
        <v>160</v>
      </c>
      <c r="E183" s="6">
        <v>1.3</v>
      </c>
      <c r="F183" s="6">
        <v>2.94</v>
      </c>
      <c r="G183" s="6">
        <v>221</v>
      </c>
      <c r="H183" s="6">
        <v>5</v>
      </c>
      <c r="I183" s="6">
        <v>46</v>
      </c>
      <c r="J183" s="6">
        <v>16</v>
      </c>
      <c r="K183" s="6">
        <v>2E-3</v>
      </c>
      <c r="L183" s="6">
        <v>87</v>
      </c>
      <c r="M183" s="6">
        <v>73</v>
      </c>
      <c r="N183" s="6">
        <v>108.003</v>
      </c>
      <c r="O183" s="6">
        <v>28.756</v>
      </c>
      <c r="P183" s="8">
        <f t="shared" si="5"/>
        <v>79.247</v>
      </c>
      <c r="R183" s="6"/>
      <c r="T183" s="6"/>
      <c r="V183" s="6"/>
      <c r="X183" s="6"/>
      <c r="Z183" s="6"/>
      <c r="AB183" s="6"/>
      <c r="AD183" s="8"/>
    </row>
    <row r="184" spans="1:30" x14ac:dyDescent="0.3">
      <c r="A184" s="6">
        <v>270</v>
      </c>
      <c r="B184" s="6">
        <v>3</v>
      </c>
      <c r="C184" s="6">
        <v>7</v>
      </c>
      <c r="D184" s="6">
        <v>156</v>
      </c>
      <c r="E184" s="6">
        <v>4.5999999999999996</v>
      </c>
      <c r="F184" s="6">
        <v>2.94</v>
      </c>
      <c r="G184" s="6">
        <v>176</v>
      </c>
      <c r="H184" s="6">
        <v>15</v>
      </c>
      <c r="I184" s="6">
        <v>95</v>
      </c>
      <c r="J184" s="6">
        <v>13</v>
      </c>
      <c r="K184" s="6">
        <v>3.5000000000000001E-3</v>
      </c>
      <c r="L184" s="6">
        <v>79</v>
      </c>
      <c r="M184" s="6">
        <v>77</v>
      </c>
      <c r="N184" s="6">
        <v>29.443999999999999</v>
      </c>
      <c r="O184" s="6">
        <v>25.393999999999998</v>
      </c>
      <c r="P184" s="8">
        <f t="shared" si="5"/>
        <v>4.0500000000000007</v>
      </c>
      <c r="R184" s="6"/>
      <c r="T184" s="6"/>
      <c r="V184" s="6"/>
      <c r="X184" s="6"/>
      <c r="Z184" s="6"/>
      <c r="AB184" s="6"/>
      <c r="AD184" s="8"/>
    </row>
    <row r="185" spans="1:30" x14ac:dyDescent="0.3">
      <c r="A185" s="6">
        <v>400</v>
      </c>
      <c r="B185" s="6">
        <v>4</v>
      </c>
      <c r="C185" s="6">
        <v>10</v>
      </c>
      <c r="D185" s="6">
        <v>142</v>
      </c>
      <c r="E185" s="6">
        <v>2.8</v>
      </c>
      <c r="F185" s="6">
        <v>2.94</v>
      </c>
      <c r="G185" s="6">
        <v>220</v>
      </c>
      <c r="H185" s="6">
        <v>10</v>
      </c>
      <c r="I185" s="6">
        <v>84</v>
      </c>
      <c r="J185" s="6">
        <v>13</v>
      </c>
      <c r="K185" s="6">
        <v>2.1000000000000003E-3</v>
      </c>
      <c r="L185" s="6">
        <v>78</v>
      </c>
      <c r="M185" s="6">
        <v>64</v>
      </c>
      <c r="N185" s="6">
        <v>64.120999999999995</v>
      </c>
      <c r="O185" s="6">
        <v>21.952999999999999</v>
      </c>
      <c r="P185" s="8">
        <f t="shared" si="5"/>
        <v>42.167999999999992</v>
      </c>
      <c r="R185" s="6"/>
      <c r="T185" s="6"/>
      <c r="V185" s="6"/>
      <c r="X185" s="6"/>
      <c r="Z185" s="6"/>
      <c r="AB185" s="6"/>
      <c r="AD185" s="8"/>
    </row>
    <row r="186" spans="1:30" x14ac:dyDescent="0.3">
      <c r="A186" s="6">
        <v>330</v>
      </c>
      <c r="B186" s="6">
        <v>3</v>
      </c>
      <c r="C186" s="6">
        <v>3</v>
      </c>
      <c r="D186" s="6">
        <v>156</v>
      </c>
      <c r="E186" s="6">
        <v>4.7</v>
      </c>
      <c r="F186" s="6">
        <v>2.94</v>
      </c>
      <c r="G186" s="6">
        <v>286</v>
      </c>
      <c r="H186" s="6">
        <v>5</v>
      </c>
      <c r="I186" s="6">
        <v>61</v>
      </c>
      <c r="J186" s="6">
        <v>11</v>
      </c>
      <c r="K186" s="6">
        <v>1.6999999999999999E-3</v>
      </c>
      <c r="L186" s="6">
        <v>101</v>
      </c>
      <c r="M186" s="6">
        <v>55</v>
      </c>
      <c r="N186" s="6">
        <v>43.485999999999997</v>
      </c>
      <c r="O186" s="6">
        <v>30.359000000000002</v>
      </c>
      <c r="P186" s="8">
        <f t="shared" si="5"/>
        <v>13.126999999999995</v>
      </c>
      <c r="R186" s="6"/>
      <c r="T186" s="6"/>
      <c r="V186" s="6"/>
      <c r="X186" s="6"/>
      <c r="Z186" s="6"/>
      <c r="AB186" s="6"/>
      <c r="AD186" s="8"/>
    </row>
    <row r="188" spans="1:30" x14ac:dyDescent="0.3">
      <c r="P188" s="6"/>
      <c r="R188" s="5"/>
      <c r="T188" s="5"/>
      <c r="V188" s="7"/>
      <c r="X188" s="5"/>
      <c r="Z188" s="5"/>
      <c r="AB188" s="5"/>
    </row>
    <row r="189" spans="1:30" x14ac:dyDescent="0.3">
      <c r="P189" s="6"/>
      <c r="R189" s="5"/>
      <c r="T189" s="5"/>
      <c r="V189" s="7"/>
      <c r="X189" s="5"/>
      <c r="Z189" s="5"/>
      <c r="AB189" s="5"/>
    </row>
    <row r="190" spans="1:30" x14ac:dyDescent="0.3">
      <c r="P190" s="6"/>
      <c r="R190" s="5"/>
      <c r="T190" s="5"/>
      <c r="V190" s="7"/>
      <c r="X190" s="5"/>
      <c r="Z190" s="5"/>
      <c r="AB190" s="5"/>
    </row>
    <row r="191" spans="1:30" x14ac:dyDescent="0.3">
      <c r="P191" s="6"/>
      <c r="R191" s="5"/>
      <c r="T191" s="5"/>
      <c r="V191" s="5"/>
      <c r="X191" s="5"/>
      <c r="Z191" s="5"/>
      <c r="AB191" s="5"/>
    </row>
    <row r="192" spans="1:30" x14ac:dyDescent="0.3">
      <c r="P192" s="6"/>
    </row>
    <row r="193" spans="16:16" x14ac:dyDescent="0.3">
      <c r="P193" s="6"/>
    </row>
    <row r="194" spans="16:16" x14ac:dyDescent="0.3">
      <c r="P194" s="6"/>
    </row>
    <row r="195" spans="16:16" x14ac:dyDescent="0.3">
      <c r="P195" s="6"/>
    </row>
    <row r="196" spans="16:16" x14ac:dyDescent="0.3">
      <c r="P196" s="6"/>
    </row>
  </sheetData>
  <conditionalFormatting sqref="A2:A186">
    <cfRule type="expression" dxfId="26" priority="17">
      <formula>#REF!=TRUE</formula>
    </cfRule>
  </conditionalFormatting>
  <conditionalFormatting sqref="B2:B186">
    <cfRule type="expression" dxfId="25" priority="18">
      <formula>#REF!=TRUE</formula>
    </cfRule>
  </conditionalFormatting>
  <conditionalFormatting sqref="C2:H186">
    <cfRule type="expression" dxfId="24" priority="19">
      <formula>#REF!=TRUE</formula>
    </cfRule>
  </conditionalFormatting>
  <conditionalFormatting sqref="I2:I186">
    <cfRule type="expression" dxfId="23" priority="8">
      <formula>$R2=TRUE</formula>
    </cfRule>
  </conditionalFormatting>
  <conditionalFormatting sqref="J2:J186">
    <cfRule type="expression" dxfId="22" priority="7">
      <formula>$T2=TRUE</formula>
    </cfRule>
  </conditionalFormatting>
  <conditionalFormatting sqref="K2:K186">
    <cfRule type="expression" dxfId="21" priority="6">
      <formula>$V2=TRUE</formula>
    </cfRule>
  </conditionalFormatting>
  <conditionalFormatting sqref="L2:L186">
    <cfRule type="expression" dxfId="20" priority="5">
      <formula>$X2=TRUE</formula>
    </cfRule>
  </conditionalFormatting>
  <conditionalFormatting sqref="M2:M186">
    <cfRule type="expression" dxfId="19" priority="4">
      <formula>$Z2=TRUE</formula>
    </cfRule>
  </conditionalFormatting>
  <conditionalFormatting sqref="N2:N186">
    <cfRule type="expression" dxfId="18" priority="3">
      <formula>$AB2=TRUE</formula>
    </cfRule>
  </conditionalFormatting>
  <conditionalFormatting sqref="O2:O186">
    <cfRule type="expression" dxfId="17" priority="2">
      <formula>$AD2=TRUE</formula>
    </cfRule>
  </conditionalFormatting>
  <conditionalFormatting sqref="P2:P186">
    <cfRule type="expression" dxfId="16" priority="1">
      <formula>$AF2=TRUE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>
      <selection activeCell="C30" sqref="C30"/>
    </sheetView>
  </sheetViews>
  <sheetFormatPr defaultRowHeight="14.4" x14ac:dyDescent="0.3"/>
  <sheetData>
    <row r="1" spans="1:6" x14ac:dyDescent="0.3">
      <c r="A1" s="12" t="s">
        <v>84</v>
      </c>
      <c r="B1" s="12" t="s">
        <v>86</v>
      </c>
      <c r="C1" s="12" t="s">
        <v>87</v>
      </c>
      <c r="D1" s="12" t="s">
        <v>84</v>
      </c>
      <c r="E1" s="12" t="s">
        <v>86</v>
      </c>
      <c r="F1" s="12" t="s">
        <v>87</v>
      </c>
    </row>
    <row r="2" spans="1:6" x14ac:dyDescent="0.3">
      <c r="A2">
        <v>170</v>
      </c>
      <c r="B2">
        <v>2</v>
      </c>
      <c r="C2" s="9">
        <v>1.0810810810810811E-2</v>
      </c>
      <c r="D2">
        <v>705.38461538461536</v>
      </c>
      <c r="E2">
        <v>39</v>
      </c>
      <c r="F2" s="9">
        <v>0.21081081081081082</v>
      </c>
    </row>
    <row r="3" spans="1:6" x14ac:dyDescent="0.3">
      <c r="A3">
        <v>214.61538461538461</v>
      </c>
      <c r="B3">
        <v>6</v>
      </c>
      <c r="C3" s="9">
        <v>4.3243243243243246E-2</v>
      </c>
      <c r="D3">
        <v>303.84615384615381</v>
      </c>
      <c r="E3">
        <v>28</v>
      </c>
      <c r="F3" s="9">
        <v>0.36216216216216218</v>
      </c>
    </row>
    <row r="4" spans="1:6" x14ac:dyDescent="0.3">
      <c r="A4">
        <v>259.23076923076923</v>
      </c>
      <c r="B4">
        <v>11</v>
      </c>
      <c r="C4" s="9">
        <v>0.10270270270270271</v>
      </c>
      <c r="D4">
        <v>348.46153846153845</v>
      </c>
      <c r="E4">
        <v>25</v>
      </c>
      <c r="F4" s="9">
        <v>0.49729729729729732</v>
      </c>
    </row>
    <row r="5" spans="1:6" x14ac:dyDescent="0.3">
      <c r="A5">
        <v>303.84615384615381</v>
      </c>
      <c r="B5">
        <v>28</v>
      </c>
      <c r="C5" s="9">
        <v>0.25405405405405407</v>
      </c>
      <c r="D5">
        <v>526.92307692307691</v>
      </c>
      <c r="E5">
        <v>18</v>
      </c>
      <c r="F5" s="9">
        <v>0.59459459459459463</v>
      </c>
    </row>
    <row r="6" spans="1:6" x14ac:dyDescent="0.3">
      <c r="A6">
        <v>348.46153846153845</v>
      </c>
      <c r="B6">
        <v>25</v>
      </c>
      <c r="C6" s="9">
        <v>0.38918918918918921</v>
      </c>
      <c r="D6" t="s">
        <v>85</v>
      </c>
      <c r="E6">
        <v>17</v>
      </c>
      <c r="F6" s="9">
        <v>0.68648648648648647</v>
      </c>
    </row>
    <row r="7" spans="1:6" x14ac:dyDescent="0.3">
      <c r="A7">
        <v>393.07692307692309</v>
      </c>
      <c r="B7">
        <v>8</v>
      </c>
      <c r="C7" s="9">
        <v>0.43243243243243246</v>
      </c>
      <c r="D7">
        <v>660.76923076923072</v>
      </c>
      <c r="E7">
        <v>12</v>
      </c>
      <c r="F7" s="9">
        <v>0.75135135135135134</v>
      </c>
    </row>
    <row r="8" spans="1:6" x14ac:dyDescent="0.3">
      <c r="A8">
        <v>437.69230769230768</v>
      </c>
      <c r="B8">
        <v>6</v>
      </c>
      <c r="C8" s="9">
        <v>0.46486486486486489</v>
      </c>
      <c r="D8">
        <v>259.23076923076923</v>
      </c>
      <c r="E8">
        <v>11</v>
      </c>
      <c r="F8" s="9">
        <v>0.81081081081081086</v>
      </c>
    </row>
    <row r="9" spans="1:6" x14ac:dyDescent="0.3">
      <c r="A9">
        <v>482.30769230769226</v>
      </c>
      <c r="B9">
        <v>9</v>
      </c>
      <c r="C9" s="9">
        <v>0.51351351351351349</v>
      </c>
      <c r="D9">
        <v>482.30769230769226</v>
      </c>
      <c r="E9">
        <v>9</v>
      </c>
      <c r="F9" s="9">
        <v>0.85945945945945945</v>
      </c>
    </row>
    <row r="10" spans="1:6" x14ac:dyDescent="0.3">
      <c r="A10">
        <v>526.92307692307691</v>
      </c>
      <c r="B10">
        <v>18</v>
      </c>
      <c r="C10" s="9">
        <v>0.61081081081081079</v>
      </c>
      <c r="D10">
        <v>393.07692307692309</v>
      </c>
      <c r="E10">
        <v>8</v>
      </c>
      <c r="F10" s="9">
        <v>0.9027027027027027</v>
      </c>
    </row>
    <row r="11" spans="1:6" x14ac:dyDescent="0.3">
      <c r="A11">
        <v>571.53846153846155</v>
      </c>
      <c r="B11">
        <v>2</v>
      </c>
      <c r="C11" s="9">
        <v>0.6216216216216216</v>
      </c>
      <c r="D11">
        <v>214.61538461538461</v>
      </c>
      <c r="E11">
        <v>6</v>
      </c>
      <c r="F11" s="9">
        <v>0.93513513513513513</v>
      </c>
    </row>
    <row r="12" spans="1:6" x14ac:dyDescent="0.3">
      <c r="A12">
        <v>616.15384615384619</v>
      </c>
      <c r="B12">
        <v>2</v>
      </c>
      <c r="C12" s="9">
        <v>0.63243243243243241</v>
      </c>
      <c r="D12">
        <v>437.69230769230768</v>
      </c>
      <c r="E12">
        <v>6</v>
      </c>
      <c r="F12" s="9">
        <v>0.96756756756756757</v>
      </c>
    </row>
    <row r="13" spans="1:6" x14ac:dyDescent="0.3">
      <c r="A13">
        <v>660.76923076923072</v>
      </c>
      <c r="B13">
        <v>12</v>
      </c>
      <c r="C13" s="9">
        <v>0.69729729729729728</v>
      </c>
      <c r="D13">
        <v>170</v>
      </c>
      <c r="E13">
        <v>2</v>
      </c>
      <c r="F13" s="9">
        <v>0.97837837837837838</v>
      </c>
    </row>
    <row r="14" spans="1:6" x14ac:dyDescent="0.3">
      <c r="A14">
        <v>705.38461538461536</v>
      </c>
      <c r="B14">
        <v>39</v>
      </c>
      <c r="C14" s="9">
        <v>0.90810810810810816</v>
      </c>
      <c r="D14">
        <v>571.53846153846155</v>
      </c>
      <c r="E14">
        <v>2</v>
      </c>
      <c r="F14" s="9">
        <v>0.98918918918918919</v>
      </c>
    </row>
    <row r="15" spans="1:6" ht="15" thickBot="1" x14ac:dyDescent="0.35">
      <c r="A15" s="10" t="s">
        <v>85</v>
      </c>
      <c r="B15" s="10">
        <v>17</v>
      </c>
      <c r="C15" s="11">
        <v>1</v>
      </c>
      <c r="D15" s="10">
        <v>616.15384615384619</v>
      </c>
      <c r="E15" s="10">
        <v>2</v>
      </c>
      <c r="F15" s="11">
        <v>1</v>
      </c>
    </row>
  </sheetData>
  <sortState xmlns:xlrd2="http://schemas.microsoft.com/office/spreadsheetml/2017/richdata2" ref="D2:E15">
    <sortCondition descending="1" ref="E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I22" sqref="I22"/>
    </sheetView>
  </sheetViews>
  <sheetFormatPr defaultRowHeight="14.4" x14ac:dyDescent="0.3"/>
  <sheetData>
    <row r="1" spans="1:2" x14ac:dyDescent="0.3">
      <c r="A1" s="12" t="s">
        <v>84</v>
      </c>
      <c r="B1" s="12" t="s">
        <v>86</v>
      </c>
    </row>
    <row r="2" spans="1:2" x14ac:dyDescent="0.3">
      <c r="A2">
        <v>170</v>
      </c>
      <c r="B2">
        <v>2</v>
      </c>
    </row>
    <row r="3" spans="1:2" x14ac:dyDescent="0.3">
      <c r="A3">
        <v>214.61538461538461</v>
      </c>
      <c r="B3">
        <v>6</v>
      </c>
    </row>
    <row r="4" spans="1:2" x14ac:dyDescent="0.3">
      <c r="A4">
        <v>259.23076923076923</v>
      </c>
      <c r="B4">
        <v>11</v>
      </c>
    </row>
    <row r="5" spans="1:2" x14ac:dyDescent="0.3">
      <c r="A5">
        <v>303.84615384615381</v>
      </c>
      <c r="B5">
        <v>28</v>
      </c>
    </row>
    <row r="6" spans="1:2" x14ac:dyDescent="0.3">
      <c r="A6">
        <v>348.46153846153845</v>
      </c>
      <c r="B6">
        <v>25</v>
      </c>
    </row>
    <row r="7" spans="1:2" x14ac:dyDescent="0.3">
      <c r="A7">
        <v>393.07692307692309</v>
      </c>
      <c r="B7">
        <v>8</v>
      </c>
    </row>
    <row r="8" spans="1:2" x14ac:dyDescent="0.3">
      <c r="A8">
        <v>437.69230769230768</v>
      </c>
      <c r="B8">
        <v>6</v>
      </c>
    </row>
    <row r="9" spans="1:2" x14ac:dyDescent="0.3">
      <c r="A9">
        <v>482.30769230769226</v>
      </c>
      <c r="B9">
        <v>9</v>
      </c>
    </row>
    <row r="10" spans="1:2" x14ac:dyDescent="0.3">
      <c r="A10">
        <v>526.92307692307691</v>
      </c>
      <c r="B10">
        <v>18</v>
      </c>
    </row>
    <row r="11" spans="1:2" x14ac:dyDescent="0.3">
      <c r="A11">
        <v>571.53846153846155</v>
      </c>
      <c r="B11">
        <v>2</v>
      </c>
    </row>
    <row r="12" spans="1:2" x14ac:dyDescent="0.3">
      <c r="A12">
        <v>616.15384615384619</v>
      </c>
      <c r="B12">
        <v>2</v>
      </c>
    </row>
    <row r="13" spans="1:2" x14ac:dyDescent="0.3">
      <c r="A13">
        <v>660.76923076923072</v>
      </c>
      <c r="B13">
        <v>12</v>
      </c>
    </row>
    <row r="14" spans="1:2" x14ac:dyDescent="0.3">
      <c r="A14">
        <v>705.38461538461536</v>
      </c>
      <c r="B14">
        <v>39</v>
      </c>
    </row>
    <row r="15" spans="1:2" ht="15" thickBot="1" x14ac:dyDescent="0.35">
      <c r="A15" s="10" t="s">
        <v>85</v>
      </c>
      <c r="B15" s="10">
        <v>17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L36" sqref="L36"/>
    </sheetView>
  </sheetViews>
  <sheetFormatPr defaultRowHeight="14.4" x14ac:dyDescent="0.3"/>
  <sheetData>
    <row r="1" spans="1:2" x14ac:dyDescent="0.3">
      <c r="A1" s="12" t="s">
        <v>84</v>
      </c>
      <c r="B1" s="12" t="s">
        <v>86</v>
      </c>
    </row>
    <row r="2" spans="1:2" x14ac:dyDescent="0.3">
      <c r="A2">
        <v>170</v>
      </c>
      <c r="B2">
        <v>2</v>
      </c>
    </row>
    <row r="3" spans="1:2" x14ac:dyDescent="0.3">
      <c r="A3">
        <v>214.61538461538461</v>
      </c>
      <c r="B3">
        <v>6</v>
      </c>
    </row>
    <row r="4" spans="1:2" x14ac:dyDescent="0.3">
      <c r="A4">
        <v>259.23076923076923</v>
      </c>
      <c r="B4">
        <v>11</v>
      </c>
    </row>
    <row r="5" spans="1:2" x14ac:dyDescent="0.3">
      <c r="A5">
        <v>303.84615384615381</v>
      </c>
      <c r="B5">
        <v>28</v>
      </c>
    </row>
    <row r="6" spans="1:2" x14ac:dyDescent="0.3">
      <c r="A6">
        <v>348.46153846153845</v>
      </c>
      <c r="B6">
        <v>25</v>
      </c>
    </row>
    <row r="7" spans="1:2" x14ac:dyDescent="0.3">
      <c r="A7">
        <v>393.07692307692309</v>
      </c>
      <c r="B7">
        <v>8</v>
      </c>
    </row>
    <row r="8" spans="1:2" x14ac:dyDescent="0.3">
      <c r="A8">
        <v>437.69230769230768</v>
      </c>
      <c r="B8">
        <v>6</v>
      </c>
    </row>
    <row r="9" spans="1:2" x14ac:dyDescent="0.3">
      <c r="A9">
        <v>482.30769230769226</v>
      </c>
      <c r="B9">
        <v>9</v>
      </c>
    </row>
    <row r="10" spans="1:2" x14ac:dyDescent="0.3">
      <c r="A10">
        <v>526.92307692307691</v>
      </c>
      <c r="B10">
        <v>18</v>
      </c>
    </row>
    <row r="11" spans="1:2" x14ac:dyDescent="0.3">
      <c r="A11">
        <v>571.53846153846155</v>
      </c>
      <c r="B11">
        <v>2</v>
      </c>
    </row>
    <row r="12" spans="1:2" x14ac:dyDescent="0.3">
      <c r="A12">
        <v>616.15384615384619</v>
      </c>
      <c r="B12">
        <v>2</v>
      </c>
    </row>
    <row r="13" spans="1:2" x14ac:dyDescent="0.3">
      <c r="A13">
        <v>660.76923076923072</v>
      </c>
      <c r="B13">
        <v>12</v>
      </c>
    </row>
    <row r="14" spans="1:2" x14ac:dyDescent="0.3">
      <c r="A14">
        <v>705.38461538461536</v>
      </c>
      <c r="B14">
        <v>39</v>
      </c>
    </row>
    <row r="15" spans="1:2" ht="15" thickBot="1" x14ac:dyDescent="0.35">
      <c r="A15" s="10" t="s">
        <v>85</v>
      </c>
      <c r="B15" s="10">
        <v>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51"/>
  <sheetViews>
    <sheetView zoomScale="70" zoomScaleNormal="70" workbookViewId="0">
      <selection activeCell="C4" sqref="C4"/>
    </sheetView>
  </sheetViews>
  <sheetFormatPr defaultRowHeight="30" customHeight="1" x14ac:dyDescent="0.3"/>
  <cols>
    <col min="1" max="1" width="40.44140625" customWidth="1"/>
    <col min="2" max="2" width="14.109375" bestFit="1" customWidth="1"/>
    <col min="3" max="3" width="17.44140625" customWidth="1"/>
    <col min="4" max="5" width="15.44140625" customWidth="1"/>
    <col min="6" max="6" width="13.5546875" bestFit="1" customWidth="1"/>
    <col min="7" max="7" width="17.88671875" customWidth="1"/>
    <col min="8" max="8" width="13.5546875" bestFit="1" customWidth="1"/>
    <col min="9" max="9" width="23.44140625" customWidth="1"/>
    <col min="10" max="10" width="14" bestFit="1" customWidth="1"/>
    <col min="11" max="11" width="22.109375" customWidth="1"/>
    <col min="12" max="14" width="13.5546875" bestFit="1" customWidth="1"/>
    <col min="15" max="15" width="23.44140625" customWidth="1"/>
    <col min="16" max="16" width="14.6640625" bestFit="1" customWidth="1"/>
    <col min="17" max="17" width="15.33203125" bestFit="1" customWidth="1"/>
    <col min="18" max="18" width="15.6640625" bestFit="1" customWidth="1"/>
  </cols>
  <sheetData>
    <row r="1" spans="1:31" ht="30" customHeight="1" thickBot="1" x14ac:dyDescent="0.35">
      <c r="C1" s="3" t="s">
        <v>11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17</v>
      </c>
      <c r="Q1" s="3" t="s">
        <v>16</v>
      </c>
      <c r="R1" s="3" t="s">
        <v>81</v>
      </c>
      <c r="S1" s="3"/>
      <c r="U1" s="3"/>
      <c r="W1" s="3"/>
      <c r="Y1" s="3"/>
      <c r="AA1" s="3"/>
      <c r="AC1" s="3"/>
      <c r="AE1" s="3"/>
    </row>
    <row r="2" spans="1:31" ht="30" customHeight="1" x14ac:dyDescent="0.3">
      <c r="B2" s="12"/>
      <c r="C2" s="12" t="s">
        <v>18</v>
      </c>
      <c r="D2" s="12" t="s">
        <v>19</v>
      </c>
      <c r="E2" s="12" t="s">
        <v>20</v>
      </c>
      <c r="F2" s="12" t="s">
        <v>21</v>
      </c>
      <c r="G2" s="12" t="s">
        <v>6</v>
      </c>
      <c r="H2" s="12" t="s">
        <v>22</v>
      </c>
      <c r="I2" s="12" t="s">
        <v>23</v>
      </c>
      <c r="J2" s="12" t="s">
        <v>24</v>
      </c>
      <c r="K2" s="12" t="s">
        <v>25</v>
      </c>
      <c r="L2" s="12" t="s">
        <v>26</v>
      </c>
      <c r="M2" s="12" t="s">
        <v>31</v>
      </c>
      <c r="N2" s="12" t="s">
        <v>27</v>
      </c>
      <c r="O2" s="12" t="s">
        <v>28</v>
      </c>
      <c r="P2" s="12" t="s">
        <v>29</v>
      </c>
      <c r="Q2" s="12" t="s">
        <v>30</v>
      </c>
      <c r="R2" s="12" t="s">
        <v>82</v>
      </c>
    </row>
    <row r="3" spans="1:31" ht="30" customHeight="1" x14ac:dyDescent="0.3">
      <c r="A3" s="3" t="s">
        <v>11</v>
      </c>
      <c r="B3" t="s">
        <v>18</v>
      </c>
      <c r="C3" s="13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1:31" ht="30" customHeight="1" x14ac:dyDescent="0.3">
      <c r="A4" s="3" t="s">
        <v>2</v>
      </c>
      <c r="B4" t="s">
        <v>19</v>
      </c>
      <c r="C4" s="13">
        <v>0.41646839324121115</v>
      </c>
      <c r="D4" s="13">
        <v>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1:31" ht="30" customHeight="1" x14ac:dyDescent="0.3">
      <c r="A5" s="3" t="s">
        <v>3</v>
      </c>
      <c r="B5" t="s">
        <v>20</v>
      </c>
      <c r="C5" s="13">
        <v>-0.1861614287023701</v>
      </c>
      <c r="D5" s="13">
        <v>0.16432463584127519</v>
      </c>
      <c r="E5" s="13">
        <v>1</v>
      </c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</row>
    <row r="6" spans="1:31" ht="30" customHeight="1" x14ac:dyDescent="0.3">
      <c r="A6" s="3" t="s">
        <v>4</v>
      </c>
      <c r="B6" t="s">
        <v>21</v>
      </c>
      <c r="C6" s="13">
        <v>0.72673540558474892</v>
      </c>
      <c r="D6" s="13">
        <v>6.6869923438416953E-2</v>
      </c>
      <c r="E6" s="13">
        <v>-0.23818174480229257</v>
      </c>
      <c r="F6" s="13">
        <v>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spans="1:31" ht="30" customHeight="1" x14ac:dyDescent="0.3">
      <c r="A7" s="3" t="s">
        <v>5</v>
      </c>
      <c r="B7" t="s">
        <v>6</v>
      </c>
      <c r="C7" s="13">
        <v>-0.48587263104540823</v>
      </c>
      <c r="D7" s="13">
        <v>-0.1984508047294809</v>
      </c>
      <c r="E7" s="13">
        <v>-1.3180858370649974E-2</v>
      </c>
      <c r="F7" s="13">
        <v>-0.54194013128566343</v>
      </c>
      <c r="G7" s="13">
        <v>1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</row>
    <row r="8" spans="1:31" ht="30" customHeight="1" x14ac:dyDescent="0.3">
      <c r="A8" s="3" t="s">
        <v>7</v>
      </c>
      <c r="B8" t="s">
        <v>22</v>
      </c>
      <c r="C8" s="13">
        <v>-0.77462827656435562</v>
      </c>
      <c r="D8" s="13">
        <v>-4.6506983150838128E-2</v>
      </c>
      <c r="E8" s="13">
        <v>0.31735289644333009</v>
      </c>
      <c r="F8" s="13">
        <v>-0.91693885623319293</v>
      </c>
      <c r="G8" s="13">
        <v>0.54045338696053113</v>
      </c>
      <c r="H8" s="13">
        <v>1</v>
      </c>
      <c r="I8" s="13"/>
      <c r="J8" s="13"/>
      <c r="K8" s="13"/>
      <c r="L8" s="13"/>
      <c r="M8" s="13"/>
      <c r="N8" s="13"/>
      <c r="O8" s="13"/>
      <c r="P8" s="13"/>
      <c r="Q8" s="13"/>
      <c r="R8" s="13"/>
    </row>
    <row r="9" spans="1:31" ht="30" customHeight="1" x14ac:dyDescent="0.3">
      <c r="A9" s="3" t="s">
        <v>8</v>
      </c>
      <c r="B9" t="s">
        <v>23</v>
      </c>
      <c r="C9" s="13">
        <v>-1.231996048844582E-2</v>
      </c>
      <c r="D9" s="13">
        <v>-5.175377572621237E-2</v>
      </c>
      <c r="E9" s="13">
        <v>-0.15819802374961173</v>
      </c>
      <c r="F9" s="13">
        <v>-4.8337357671974578E-2</v>
      </c>
      <c r="G9" s="13">
        <v>6.5068023918208448E-3</v>
      </c>
      <c r="H9" s="13">
        <v>-2.696604355460748E-2</v>
      </c>
      <c r="I9" s="13">
        <v>1</v>
      </c>
      <c r="J9" s="13"/>
      <c r="K9" s="13"/>
      <c r="L9" s="13"/>
      <c r="M9" s="13"/>
      <c r="N9" s="13"/>
      <c r="O9" s="13"/>
      <c r="P9" s="13"/>
      <c r="Q9" s="13"/>
      <c r="R9" s="13"/>
    </row>
    <row r="10" spans="1:31" ht="30" customHeight="1" x14ac:dyDescent="0.3">
      <c r="A10" s="3" t="s">
        <v>9</v>
      </c>
      <c r="B10" t="s">
        <v>24</v>
      </c>
      <c r="C10" s="13">
        <v>0.74231655819437503</v>
      </c>
      <c r="D10" s="13">
        <v>5.5377633436580989E-2</v>
      </c>
      <c r="E10" s="13">
        <v>-0.22792884871647728</v>
      </c>
      <c r="F10" s="13">
        <v>0.90018050739280375</v>
      </c>
      <c r="G10" s="13">
        <v>-0.52504070925595459</v>
      </c>
      <c r="H10" s="13">
        <v>-0.92904129495258481</v>
      </c>
      <c r="I10" s="13">
        <v>-7.9979372623096054E-2</v>
      </c>
      <c r="J10" s="13">
        <v>1</v>
      </c>
      <c r="K10" s="13"/>
      <c r="L10" s="13"/>
      <c r="M10" s="13"/>
      <c r="N10" s="13"/>
      <c r="O10" s="13"/>
      <c r="P10" s="13"/>
      <c r="Q10" s="13"/>
      <c r="R10" s="13"/>
    </row>
    <row r="11" spans="1:31" ht="30" customHeight="1" x14ac:dyDescent="0.3">
      <c r="A11" s="3" t="s">
        <v>10</v>
      </c>
      <c r="B11" t="s">
        <v>25</v>
      </c>
      <c r="C11" s="13">
        <v>0.66069239528135026</v>
      </c>
      <c r="D11" s="13">
        <v>-1.0212181854340295E-2</v>
      </c>
      <c r="E11" s="13">
        <v>-0.2441975582025038</v>
      </c>
      <c r="F11" s="13">
        <v>0.74800992735081473</v>
      </c>
      <c r="G11" s="13">
        <v>-0.41592833071457636</v>
      </c>
      <c r="H11" s="13">
        <v>-0.83317488334311796</v>
      </c>
      <c r="I11" s="13">
        <v>1.6702037593872992E-2</v>
      </c>
      <c r="J11" s="13">
        <v>0.8665658212914229</v>
      </c>
      <c r="K11" s="13">
        <v>1</v>
      </c>
      <c r="L11" s="13"/>
      <c r="M11" s="13"/>
      <c r="N11" s="13"/>
      <c r="O11" s="13"/>
      <c r="P11" s="13"/>
      <c r="Q11" s="13"/>
      <c r="R11" s="13"/>
    </row>
    <row r="12" spans="1:31" ht="30" customHeight="1" x14ac:dyDescent="0.3">
      <c r="A12" s="3" t="s">
        <v>12</v>
      </c>
      <c r="B12" t="s">
        <v>26</v>
      </c>
      <c r="C12" s="13">
        <v>0.65982443197230489</v>
      </c>
      <c r="D12" s="13">
        <v>8.4700741826897533E-2</v>
      </c>
      <c r="E12" s="13">
        <v>-0.17024043675097755</v>
      </c>
      <c r="F12" s="13">
        <v>0.84983817863922673</v>
      </c>
      <c r="G12" s="13">
        <v>-0.50142964527528233</v>
      </c>
      <c r="H12" s="13">
        <v>-0.87918891051622872</v>
      </c>
      <c r="I12" s="13">
        <v>-8.0992347983037768E-2</v>
      </c>
      <c r="J12" s="13">
        <v>0.8691551550242913</v>
      </c>
      <c r="K12" s="13">
        <v>0.66799964436038528</v>
      </c>
      <c r="L12" s="13">
        <v>1</v>
      </c>
      <c r="M12" s="13"/>
      <c r="N12" s="13"/>
      <c r="O12" s="13"/>
      <c r="P12" s="13"/>
      <c r="Q12" s="13"/>
      <c r="R12" s="13"/>
    </row>
    <row r="13" spans="1:31" ht="30" customHeight="1" x14ac:dyDescent="0.3">
      <c r="A13" s="3" t="s">
        <v>13</v>
      </c>
      <c r="B13" t="s">
        <v>31</v>
      </c>
      <c r="C13" s="13">
        <v>0.48390167189891059</v>
      </c>
      <c r="D13" s="13">
        <v>8.0416748510175797E-3</v>
      </c>
      <c r="E13" s="13">
        <v>-0.26355572755208267</v>
      </c>
      <c r="F13" s="13">
        <v>0.51541096139807208</v>
      </c>
      <c r="G13" s="13">
        <v>-0.32790213354003112</v>
      </c>
      <c r="H13" s="13">
        <v>-0.58780620648306225</v>
      </c>
      <c r="I13" s="13">
        <v>3.6759307220556835E-2</v>
      </c>
      <c r="J13" s="13">
        <v>0.59526801655457007</v>
      </c>
      <c r="K13" s="13">
        <v>0.67153508722734934</v>
      </c>
      <c r="L13" s="13">
        <v>0.35188787329208959</v>
      </c>
      <c r="M13" s="13">
        <v>1</v>
      </c>
      <c r="N13" s="13"/>
      <c r="O13" s="13"/>
      <c r="P13" s="13"/>
      <c r="Q13" s="13"/>
      <c r="R13" s="13"/>
    </row>
    <row r="14" spans="1:31" ht="30" customHeight="1" x14ac:dyDescent="0.3">
      <c r="A14" s="3" t="s">
        <v>14</v>
      </c>
      <c r="B14" t="s">
        <v>27</v>
      </c>
      <c r="C14" s="13">
        <v>-3.3316199565015546E-2</v>
      </c>
      <c r="D14" s="13">
        <v>1.5648306225883226E-2</v>
      </c>
      <c r="E14" s="13">
        <v>0.17858299617749215</v>
      </c>
      <c r="F14" s="13">
        <v>0.22598390520155126</v>
      </c>
      <c r="G14" s="13">
        <v>-0.10697253064290524</v>
      </c>
      <c r="H14" s="13">
        <v>-5.1907663660241465E-2</v>
      </c>
      <c r="I14" s="13">
        <v>-7.0563149634538816E-2</v>
      </c>
      <c r="J14" s="13">
        <v>6.1316730662025247E-2</v>
      </c>
      <c r="K14" s="13">
        <v>6.6836740905970735E-2</v>
      </c>
      <c r="L14" s="13">
        <v>7.7907501519470013E-2</v>
      </c>
      <c r="M14" s="13">
        <v>-4.1309056713225219E-2</v>
      </c>
      <c r="N14" s="13">
        <v>1</v>
      </c>
      <c r="O14" s="13"/>
      <c r="P14" s="13"/>
      <c r="Q14" s="13"/>
      <c r="R14" s="13"/>
    </row>
    <row r="15" spans="1:31" ht="30" customHeight="1" x14ac:dyDescent="0.3">
      <c r="A15" s="3" t="s">
        <v>15</v>
      </c>
      <c r="B15" t="s">
        <v>28</v>
      </c>
      <c r="C15" s="13">
        <v>0.7544897876853166</v>
      </c>
      <c r="D15" s="13">
        <v>6.4167251078607671E-2</v>
      </c>
      <c r="E15" s="13">
        <v>-0.29437249664879012</v>
      </c>
      <c r="F15" s="13">
        <v>0.96183787600081705</v>
      </c>
      <c r="G15" s="13">
        <v>-0.52561149951859043</v>
      </c>
      <c r="H15" s="13">
        <v>-0.92556977103741178</v>
      </c>
      <c r="I15" s="13">
        <v>-2.9740735318417037E-2</v>
      </c>
      <c r="J15" s="13">
        <v>0.90574432999851173</v>
      </c>
      <c r="K15" s="13">
        <v>0.74817126339186069</v>
      </c>
      <c r="L15" s="13">
        <v>0.8494675344663648</v>
      </c>
      <c r="M15" s="13">
        <v>0.54006103550271201</v>
      </c>
      <c r="N15" s="13">
        <v>-4.9181847265668099E-2</v>
      </c>
      <c r="O15" s="13">
        <v>1</v>
      </c>
      <c r="P15" s="13"/>
      <c r="Q15" s="13"/>
      <c r="R15" s="13"/>
    </row>
    <row r="16" spans="1:31" ht="30" customHeight="1" x14ac:dyDescent="0.3">
      <c r="A16" s="3" t="s">
        <v>17</v>
      </c>
      <c r="B16" t="s">
        <v>29</v>
      </c>
      <c r="C16" s="13">
        <v>0.26731560597701076</v>
      </c>
      <c r="D16" s="13">
        <v>0.64269932758417003</v>
      </c>
      <c r="E16" s="13">
        <v>0.22621845641935151</v>
      </c>
      <c r="F16" s="13">
        <v>5.7705246309003491E-2</v>
      </c>
      <c r="G16" s="13">
        <v>7.1229535527699325E-2</v>
      </c>
      <c r="H16" s="13">
        <v>-1.8332999139039786E-2</v>
      </c>
      <c r="I16" s="13">
        <v>1.6542378546252453E-2</v>
      </c>
      <c r="J16" s="13">
        <v>4.2571725934176165E-2</v>
      </c>
      <c r="K16" s="13">
        <v>5.4047886391225736E-2</v>
      </c>
      <c r="L16" s="13">
        <v>3.1045119458217935E-2</v>
      </c>
      <c r="M16" s="13">
        <v>-3.6151760587439782E-2</v>
      </c>
      <c r="N16" s="13">
        <v>0.19985190849387199</v>
      </c>
      <c r="O16" s="13">
        <v>3.0303275018758323E-3</v>
      </c>
      <c r="P16" s="13">
        <v>1</v>
      </c>
      <c r="Q16" s="13"/>
      <c r="R16" s="13"/>
    </row>
    <row r="17" spans="1:18" ht="30" customHeight="1" x14ac:dyDescent="0.3">
      <c r="A17" s="3" t="s">
        <v>16</v>
      </c>
      <c r="B17" t="s">
        <v>30</v>
      </c>
      <c r="C17" s="13">
        <v>0.6450775485380742</v>
      </c>
      <c r="D17" s="13">
        <v>0.18222593760747169</v>
      </c>
      <c r="E17" s="13">
        <v>-1.0416787513384145E-3</v>
      </c>
      <c r="F17" s="13">
        <v>0.5844424023609669</v>
      </c>
      <c r="G17" s="13">
        <v>-0.33260799279443093</v>
      </c>
      <c r="H17" s="13">
        <v>-0.65734276695884686</v>
      </c>
      <c r="I17" s="13">
        <v>4.9466444579787161E-2</v>
      </c>
      <c r="J17" s="13">
        <v>0.62704712094652837</v>
      </c>
      <c r="K17" s="13">
        <v>0.62926403855085666</v>
      </c>
      <c r="L17" s="13">
        <v>0.48007850812433844</v>
      </c>
      <c r="M17" s="13">
        <v>0.51706506138237807</v>
      </c>
      <c r="N17" s="13">
        <v>1.1279667191086935E-2</v>
      </c>
      <c r="O17" s="13">
        <v>0.59606846539401981</v>
      </c>
      <c r="P17" s="13">
        <v>0.41055215074252677</v>
      </c>
      <c r="Q17" s="13">
        <v>1</v>
      </c>
      <c r="R17" s="13"/>
    </row>
    <row r="18" spans="1:18" ht="30" customHeight="1" thickBot="1" x14ac:dyDescent="0.35">
      <c r="A18" s="3" t="s">
        <v>81</v>
      </c>
      <c r="B18" s="10" t="s">
        <v>82</v>
      </c>
      <c r="C18" s="14">
        <v>-7.7088675427103126E-2</v>
      </c>
      <c r="D18" s="14">
        <v>0.59547318825746087</v>
      </c>
      <c r="E18" s="14">
        <v>0.24678022107424225</v>
      </c>
      <c r="F18" s="14">
        <v>-0.27060990000819768</v>
      </c>
      <c r="G18" s="14">
        <v>0.26726058475531256</v>
      </c>
      <c r="H18" s="14">
        <v>0.35504508507628851</v>
      </c>
      <c r="I18" s="14">
        <v>-1.0216752400340803E-2</v>
      </c>
      <c r="J18" s="14">
        <v>-0.31138404344073678</v>
      </c>
      <c r="K18" s="14">
        <v>-0.30015961382690831</v>
      </c>
      <c r="L18" s="14">
        <v>-0.24008644369159646</v>
      </c>
      <c r="M18" s="14">
        <v>-0.33431438677956626</v>
      </c>
      <c r="N18" s="14">
        <v>0.21105739511944799</v>
      </c>
      <c r="O18" s="14">
        <v>-0.33674313802783568</v>
      </c>
      <c r="P18" s="14">
        <v>0.85405761561921356</v>
      </c>
      <c r="Q18" s="14">
        <v>-0.12368280138839702</v>
      </c>
      <c r="R18" s="14">
        <v>1</v>
      </c>
    </row>
    <row r="39" spans="3:3" ht="30" customHeight="1" x14ac:dyDescent="0.3">
      <c r="C39" s="3"/>
    </row>
    <row r="41" spans="3:3" ht="30" customHeight="1" x14ac:dyDescent="0.3">
      <c r="C41" s="3"/>
    </row>
    <row r="43" spans="3:3" ht="30" customHeight="1" x14ac:dyDescent="0.3">
      <c r="C43" s="3"/>
    </row>
    <row r="45" spans="3:3" ht="30" customHeight="1" x14ac:dyDescent="0.3">
      <c r="C45" s="3"/>
    </row>
    <row r="47" spans="3:3" ht="30" customHeight="1" x14ac:dyDescent="0.3">
      <c r="C47" s="3"/>
    </row>
    <row r="49" spans="3:3" ht="30" customHeight="1" x14ac:dyDescent="0.3">
      <c r="C49" s="3"/>
    </row>
    <row r="51" spans="3:3" ht="30" customHeight="1" x14ac:dyDescent="0.3">
      <c r="C51" s="3"/>
    </row>
  </sheetData>
  <conditionalFormatting sqref="C3:R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51"/>
  <sheetViews>
    <sheetView zoomScale="55" zoomScaleNormal="55" workbookViewId="0">
      <selection activeCell="I20" sqref="I20"/>
    </sheetView>
  </sheetViews>
  <sheetFormatPr defaultColWidth="9.109375" defaultRowHeight="30" customHeight="1" x14ac:dyDescent="0.3"/>
  <cols>
    <col min="1" max="1" width="45.33203125" customWidth="1"/>
    <col min="2" max="2" width="14.109375" style="2" bestFit="1" customWidth="1"/>
    <col min="3" max="3" width="17.44140625" style="25" customWidth="1"/>
    <col min="4" max="4" width="15.44140625" style="21" customWidth="1"/>
    <col min="5" max="5" width="15.44140625" style="38" customWidth="1"/>
    <col min="6" max="6" width="13.5546875" style="25" bestFit="1" customWidth="1"/>
    <col min="7" max="7" width="17.88671875" style="25" customWidth="1"/>
    <col min="8" max="8" width="13.5546875" style="30" bestFit="1" customWidth="1"/>
    <col min="9" max="9" width="23.44140625" style="21" customWidth="1"/>
    <col min="10" max="10" width="14" style="25" bestFit="1" customWidth="1"/>
    <col min="11" max="11" width="22.109375" style="25" customWidth="1"/>
    <col min="12" max="13" width="13.5546875" style="25" bestFit="1" customWidth="1"/>
    <col min="14" max="14" width="13.5546875" style="21" bestFit="1" customWidth="1"/>
    <col min="15" max="15" width="23.44140625" style="25" customWidth="1"/>
    <col min="16" max="16" width="14.6640625" style="30" bestFit="1" customWidth="1"/>
    <col min="17" max="17" width="15.33203125" style="50" bestFit="1" customWidth="1"/>
    <col min="18" max="18" width="15.6640625" style="30" bestFit="1" customWidth="1"/>
  </cols>
  <sheetData>
    <row r="1" spans="1:31" ht="64.5" customHeight="1" thickBot="1" x14ac:dyDescent="0.35">
      <c r="C1" s="22" t="s">
        <v>11</v>
      </c>
      <c r="D1" s="18" t="s">
        <v>2</v>
      </c>
      <c r="E1" s="35" t="s">
        <v>3</v>
      </c>
      <c r="F1" s="22" t="s">
        <v>4</v>
      </c>
      <c r="G1" s="22" t="s">
        <v>5</v>
      </c>
      <c r="H1" s="26" t="s">
        <v>7</v>
      </c>
      <c r="I1" s="18" t="s">
        <v>8</v>
      </c>
      <c r="J1" s="22" t="s">
        <v>9</v>
      </c>
      <c r="K1" s="22" t="s">
        <v>10</v>
      </c>
      <c r="L1" s="22" t="s">
        <v>12</v>
      </c>
      <c r="M1" s="22" t="s">
        <v>13</v>
      </c>
      <c r="N1" s="18" t="s">
        <v>14</v>
      </c>
      <c r="O1" s="22" t="s">
        <v>15</v>
      </c>
      <c r="P1" s="26" t="s">
        <v>17</v>
      </c>
      <c r="Q1" s="15" t="s">
        <v>16</v>
      </c>
      <c r="R1" s="26" t="s">
        <v>81</v>
      </c>
      <c r="S1" s="3"/>
      <c r="U1" s="3"/>
      <c r="W1" s="3"/>
      <c r="Y1" s="3"/>
      <c r="AA1" s="3"/>
      <c r="AC1" s="3"/>
      <c r="AE1" s="3"/>
    </row>
    <row r="2" spans="1:31" s="2" customFormat="1" ht="30" customHeight="1" x14ac:dyDescent="0.3">
      <c r="B2" s="16"/>
      <c r="C2" s="23" t="s">
        <v>18</v>
      </c>
      <c r="D2" s="19" t="s">
        <v>19</v>
      </c>
      <c r="E2" s="40" t="s">
        <v>20</v>
      </c>
      <c r="F2" s="23" t="s">
        <v>21</v>
      </c>
      <c r="G2" s="23" t="s">
        <v>6</v>
      </c>
      <c r="H2" s="27" t="s">
        <v>22</v>
      </c>
      <c r="I2" s="19" t="s">
        <v>23</v>
      </c>
      <c r="J2" s="23" t="s">
        <v>24</v>
      </c>
      <c r="K2" s="23" t="s">
        <v>25</v>
      </c>
      <c r="L2" s="23" t="s">
        <v>26</v>
      </c>
      <c r="M2" s="23" t="s">
        <v>31</v>
      </c>
      <c r="N2" s="19" t="s">
        <v>27</v>
      </c>
      <c r="O2" s="23" t="s">
        <v>28</v>
      </c>
      <c r="P2" s="27" t="s">
        <v>29</v>
      </c>
      <c r="Q2" s="45" t="s">
        <v>30</v>
      </c>
      <c r="R2" s="27" t="s">
        <v>82</v>
      </c>
    </row>
    <row r="3" spans="1:31" s="25" customFormat="1" ht="30" customHeight="1" x14ac:dyDescent="0.3">
      <c r="A3" s="22" t="s">
        <v>11</v>
      </c>
      <c r="B3" s="34" t="s">
        <v>18</v>
      </c>
      <c r="C3" s="24">
        <v>1</v>
      </c>
      <c r="D3" s="32"/>
      <c r="E3" s="37"/>
      <c r="F3" s="24"/>
      <c r="G3" s="24"/>
      <c r="H3" s="24"/>
      <c r="I3" s="32"/>
      <c r="J3" s="24"/>
      <c r="K3" s="24"/>
      <c r="L3" s="24"/>
      <c r="M3" s="24"/>
      <c r="N3" s="32"/>
      <c r="O3" s="24"/>
      <c r="P3" s="28"/>
      <c r="Q3" s="46"/>
      <c r="R3" s="28"/>
    </row>
    <row r="4" spans="1:31" s="21" customFormat="1" ht="30" customHeight="1" x14ac:dyDescent="0.3">
      <c r="A4" s="18" t="s">
        <v>2</v>
      </c>
      <c r="B4" s="31" t="s">
        <v>19</v>
      </c>
      <c r="C4" s="32">
        <v>0.41646839324121115</v>
      </c>
      <c r="D4" s="20">
        <v>1</v>
      </c>
      <c r="E4" s="37"/>
      <c r="F4" s="32"/>
      <c r="G4" s="32"/>
      <c r="H4" s="33"/>
      <c r="I4" s="20"/>
      <c r="J4" s="32"/>
      <c r="K4" s="32"/>
      <c r="L4" s="32"/>
      <c r="M4" s="32"/>
      <c r="N4" s="20"/>
      <c r="O4" s="32"/>
      <c r="P4" s="33"/>
      <c r="Q4" s="47"/>
      <c r="R4" s="33"/>
    </row>
    <row r="5" spans="1:31" s="38" customFormat="1" ht="30" customHeight="1" x14ac:dyDescent="0.3">
      <c r="A5" s="35" t="s">
        <v>3</v>
      </c>
      <c r="B5" s="36" t="s">
        <v>20</v>
      </c>
      <c r="C5" s="37">
        <v>-0.1861614287023701</v>
      </c>
      <c r="D5" s="37">
        <v>0.16432463584127519</v>
      </c>
      <c r="E5" s="37">
        <v>1</v>
      </c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48"/>
      <c r="R5" s="37"/>
    </row>
    <row r="6" spans="1:31" s="25" customFormat="1" ht="30" customHeight="1" x14ac:dyDescent="0.3">
      <c r="A6" s="22" t="s">
        <v>4</v>
      </c>
      <c r="B6" s="34" t="s">
        <v>21</v>
      </c>
      <c r="C6" s="24">
        <v>0.72673540558474892</v>
      </c>
      <c r="D6" s="32">
        <v>6.6869923438416953E-2</v>
      </c>
      <c r="E6" s="42">
        <v>-0.23818174480229257</v>
      </c>
      <c r="F6" s="24">
        <v>1</v>
      </c>
      <c r="G6" s="24"/>
      <c r="H6" s="24"/>
      <c r="I6" s="32"/>
      <c r="J6" s="24"/>
      <c r="K6" s="24"/>
      <c r="L6" s="24"/>
      <c r="M6" s="24"/>
      <c r="N6" s="32"/>
      <c r="O6" s="24"/>
      <c r="P6" s="28"/>
      <c r="Q6" s="46"/>
      <c r="R6" s="28"/>
    </row>
    <row r="7" spans="1:31" s="25" customFormat="1" ht="30" customHeight="1" x14ac:dyDescent="0.3">
      <c r="A7" s="22" t="s">
        <v>5</v>
      </c>
      <c r="B7" s="34" t="s">
        <v>6</v>
      </c>
      <c r="C7" s="24">
        <v>-0.48587263104540823</v>
      </c>
      <c r="D7" s="32">
        <v>-0.1984508047294809</v>
      </c>
      <c r="E7" s="42">
        <v>-1.3180858370649974E-2</v>
      </c>
      <c r="F7" s="24">
        <v>-0.54194013128566343</v>
      </c>
      <c r="G7" s="24">
        <v>1</v>
      </c>
      <c r="H7" s="24"/>
      <c r="I7" s="32"/>
      <c r="J7" s="24"/>
      <c r="K7" s="24"/>
      <c r="L7" s="24"/>
      <c r="M7" s="24"/>
      <c r="N7" s="32"/>
      <c r="O7" s="24"/>
      <c r="P7" s="28"/>
      <c r="Q7" s="46"/>
      <c r="R7" s="28"/>
    </row>
    <row r="8" spans="1:31" s="30" customFormat="1" ht="30" customHeight="1" x14ac:dyDescent="0.3">
      <c r="A8" s="26" t="s">
        <v>7</v>
      </c>
      <c r="B8" s="43" t="s">
        <v>22</v>
      </c>
      <c r="C8" s="28">
        <v>-0.77462827656435562</v>
      </c>
      <c r="D8" s="33">
        <v>-4.6506983150838128E-2</v>
      </c>
      <c r="E8" s="37">
        <v>0.31735289644333009</v>
      </c>
      <c r="F8" s="28">
        <v>-0.91693885623319293</v>
      </c>
      <c r="G8" s="28">
        <v>0.54045338696053113</v>
      </c>
      <c r="H8" s="28">
        <v>1</v>
      </c>
      <c r="I8" s="33"/>
      <c r="J8" s="28"/>
      <c r="K8" s="28"/>
      <c r="L8" s="28"/>
      <c r="M8" s="28"/>
      <c r="N8" s="33"/>
      <c r="O8" s="28"/>
      <c r="P8" s="28"/>
      <c r="Q8" s="46"/>
      <c r="R8" s="28"/>
    </row>
    <row r="9" spans="1:31" s="21" customFormat="1" ht="30" customHeight="1" x14ac:dyDescent="0.3">
      <c r="A9" s="18" t="s">
        <v>8</v>
      </c>
      <c r="B9" s="31" t="s">
        <v>23</v>
      </c>
      <c r="C9" s="32">
        <v>-1.231996048844582E-2</v>
      </c>
      <c r="D9" s="20">
        <v>-5.175377572621237E-2</v>
      </c>
      <c r="E9" s="33">
        <v>-0.15819802374961173</v>
      </c>
      <c r="F9" s="32">
        <v>-4.8337357671974578E-2</v>
      </c>
      <c r="G9" s="32">
        <v>6.5068023918208448E-3</v>
      </c>
      <c r="H9" s="33">
        <v>-2.696604355460748E-2</v>
      </c>
      <c r="I9" s="20">
        <v>1</v>
      </c>
      <c r="J9" s="32"/>
      <c r="K9" s="32"/>
      <c r="L9" s="32"/>
      <c r="M9" s="32"/>
      <c r="N9" s="20"/>
      <c r="O9" s="32"/>
      <c r="P9" s="33"/>
      <c r="Q9" s="47"/>
      <c r="R9" s="33"/>
    </row>
    <row r="10" spans="1:31" s="25" customFormat="1" ht="30" customHeight="1" x14ac:dyDescent="0.3">
      <c r="A10" s="22" t="s">
        <v>9</v>
      </c>
      <c r="B10" s="34" t="s">
        <v>24</v>
      </c>
      <c r="C10" s="24">
        <v>0.74231655819437503</v>
      </c>
      <c r="D10" s="32">
        <v>5.5377633436580989E-2</v>
      </c>
      <c r="E10" s="42">
        <v>-0.22792884871647728</v>
      </c>
      <c r="F10" s="24">
        <v>0.90018050739280375</v>
      </c>
      <c r="G10" s="24">
        <v>-0.52504070925595459</v>
      </c>
      <c r="H10" s="24">
        <v>-0.92904129495258481</v>
      </c>
      <c r="I10" s="32">
        <v>-7.9979372623096054E-2</v>
      </c>
      <c r="J10" s="24">
        <v>1</v>
      </c>
      <c r="K10" s="24"/>
      <c r="L10" s="24"/>
      <c r="M10" s="24"/>
      <c r="N10" s="32"/>
      <c r="O10" s="24"/>
      <c r="P10" s="28"/>
      <c r="Q10" s="46"/>
      <c r="R10" s="28"/>
    </row>
    <row r="11" spans="1:31" s="25" customFormat="1" ht="30" customHeight="1" x14ac:dyDescent="0.3">
      <c r="A11" s="22" t="s">
        <v>10</v>
      </c>
      <c r="B11" s="34" t="s">
        <v>25</v>
      </c>
      <c r="C11" s="24">
        <v>0.66069239528135026</v>
      </c>
      <c r="D11" s="32">
        <v>-1.0212181854340295E-2</v>
      </c>
      <c r="E11" s="42">
        <v>-0.2441975582025038</v>
      </c>
      <c r="F11" s="24">
        <v>0.74800992735081473</v>
      </c>
      <c r="G11" s="24">
        <v>-0.41592833071457636</v>
      </c>
      <c r="H11" s="24">
        <v>-0.83317488334311796</v>
      </c>
      <c r="I11" s="32">
        <v>1.6702037593872992E-2</v>
      </c>
      <c r="J11" s="24">
        <v>0.8665658212914229</v>
      </c>
      <c r="K11" s="24">
        <v>1</v>
      </c>
      <c r="L11" s="24"/>
      <c r="M11" s="24"/>
      <c r="N11" s="32"/>
      <c r="O11" s="24"/>
      <c r="P11" s="28"/>
      <c r="Q11" s="46"/>
      <c r="R11" s="28"/>
    </row>
    <row r="12" spans="1:31" s="25" customFormat="1" ht="30" customHeight="1" x14ac:dyDescent="0.3">
      <c r="A12" s="22" t="s">
        <v>12</v>
      </c>
      <c r="B12" s="34" t="s">
        <v>26</v>
      </c>
      <c r="C12" s="24">
        <v>0.65982443197230489</v>
      </c>
      <c r="D12" s="32">
        <v>8.4700741826897533E-2</v>
      </c>
      <c r="E12" s="42">
        <v>-0.17024043675097755</v>
      </c>
      <c r="F12" s="24">
        <v>0.84983817863922673</v>
      </c>
      <c r="G12" s="24">
        <v>-0.50142964527528233</v>
      </c>
      <c r="H12" s="24">
        <v>-0.87918891051622872</v>
      </c>
      <c r="I12" s="32">
        <v>-8.0992347983037768E-2</v>
      </c>
      <c r="J12" s="24">
        <v>0.8691551550242913</v>
      </c>
      <c r="K12" s="24">
        <v>0.66799964436038528</v>
      </c>
      <c r="L12" s="24">
        <v>1</v>
      </c>
      <c r="M12" s="24"/>
      <c r="N12" s="32"/>
      <c r="O12" s="24"/>
      <c r="P12" s="28"/>
      <c r="Q12" s="46"/>
      <c r="R12" s="28"/>
    </row>
    <row r="13" spans="1:31" s="25" customFormat="1" ht="30" customHeight="1" x14ac:dyDescent="0.3">
      <c r="A13" s="22" t="s">
        <v>13</v>
      </c>
      <c r="B13" s="34" t="s">
        <v>31</v>
      </c>
      <c r="C13" s="24">
        <v>0.48390167189891059</v>
      </c>
      <c r="D13" s="32">
        <v>8.0416748510175797E-3</v>
      </c>
      <c r="E13" s="42">
        <v>-0.26355572755208267</v>
      </c>
      <c r="F13" s="24">
        <v>0.51541096139807208</v>
      </c>
      <c r="G13" s="24">
        <v>-0.32790213354003112</v>
      </c>
      <c r="H13" s="24">
        <v>-0.58780620648306225</v>
      </c>
      <c r="I13" s="32">
        <v>3.6759307220556835E-2</v>
      </c>
      <c r="J13" s="24">
        <v>0.59526801655457007</v>
      </c>
      <c r="K13" s="24">
        <v>0.67153508722734934</v>
      </c>
      <c r="L13" s="24">
        <v>0.35188787329208959</v>
      </c>
      <c r="M13" s="24">
        <v>1</v>
      </c>
      <c r="N13" s="32"/>
      <c r="O13" s="24"/>
      <c r="P13" s="28"/>
      <c r="Q13" s="46"/>
      <c r="R13" s="28"/>
    </row>
    <row r="14" spans="1:31" s="21" customFormat="1" ht="30" customHeight="1" x14ac:dyDescent="0.3">
      <c r="A14" s="18" t="s">
        <v>14</v>
      </c>
      <c r="B14" s="31" t="s">
        <v>27</v>
      </c>
      <c r="C14" s="32">
        <v>-3.3316199565015546E-2</v>
      </c>
      <c r="D14" s="20">
        <v>1.5648306225883226E-2</v>
      </c>
      <c r="E14" s="37">
        <v>0.17858299617749215</v>
      </c>
      <c r="F14" s="32">
        <v>0.22598390520155126</v>
      </c>
      <c r="G14" s="32">
        <v>-0.10697253064290524</v>
      </c>
      <c r="H14" s="33">
        <v>-5.1907663660241465E-2</v>
      </c>
      <c r="I14" s="20">
        <v>-7.0563149634538816E-2</v>
      </c>
      <c r="J14" s="32">
        <v>6.1316730662025247E-2</v>
      </c>
      <c r="K14" s="32">
        <v>6.6836740905970735E-2</v>
      </c>
      <c r="L14" s="32">
        <v>7.7907501519470013E-2</v>
      </c>
      <c r="M14" s="32">
        <v>-4.1309056713225219E-2</v>
      </c>
      <c r="N14" s="20">
        <v>1</v>
      </c>
      <c r="O14" s="32"/>
      <c r="P14" s="33"/>
      <c r="Q14" s="47"/>
      <c r="R14" s="33"/>
    </row>
    <row r="15" spans="1:31" s="25" customFormat="1" ht="30" customHeight="1" x14ac:dyDescent="0.3">
      <c r="A15" s="22" t="s">
        <v>15</v>
      </c>
      <c r="B15" s="34" t="s">
        <v>28</v>
      </c>
      <c r="C15" s="24">
        <v>0.7544897876853166</v>
      </c>
      <c r="D15" s="32">
        <v>6.4167251078607671E-2</v>
      </c>
      <c r="E15" s="37">
        <v>-0.29437249664879012</v>
      </c>
      <c r="F15" s="24">
        <v>0.96183787600081705</v>
      </c>
      <c r="G15" s="24">
        <v>-0.52561149951859043</v>
      </c>
      <c r="H15" s="24">
        <v>-0.92556977103741178</v>
      </c>
      <c r="I15" s="32">
        <v>-2.9740735318417037E-2</v>
      </c>
      <c r="J15" s="24">
        <v>0.90574432999851173</v>
      </c>
      <c r="K15" s="24">
        <v>0.74817126339186069</v>
      </c>
      <c r="L15" s="24">
        <v>0.8494675344663648</v>
      </c>
      <c r="M15" s="24">
        <v>0.54006103550271201</v>
      </c>
      <c r="N15" s="32">
        <v>-4.9181847265668099E-2</v>
      </c>
      <c r="O15" s="24">
        <v>1</v>
      </c>
      <c r="P15" s="28"/>
      <c r="Q15" s="46"/>
      <c r="R15" s="28"/>
    </row>
    <row r="16" spans="1:31" s="30" customFormat="1" ht="30" customHeight="1" x14ac:dyDescent="0.3">
      <c r="A16" s="26" t="s">
        <v>17</v>
      </c>
      <c r="B16" s="43" t="s">
        <v>29</v>
      </c>
      <c r="C16" s="28">
        <v>0.26731560597701076</v>
      </c>
      <c r="D16" s="33">
        <v>0.64269932758417003</v>
      </c>
      <c r="E16" s="37">
        <v>0.22621845641935151</v>
      </c>
      <c r="F16" s="28">
        <v>5.7705246309003491E-2</v>
      </c>
      <c r="G16" s="28">
        <v>7.1229535527699325E-2</v>
      </c>
      <c r="H16" s="28">
        <v>-1.8332999139039786E-2</v>
      </c>
      <c r="I16" s="33">
        <v>1.6542378546252453E-2</v>
      </c>
      <c r="J16" s="28">
        <v>4.2571725934176165E-2</v>
      </c>
      <c r="K16" s="28">
        <v>5.4047886391225736E-2</v>
      </c>
      <c r="L16" s="28">
        <v>3.1045119458217935E-2</v>
      </c>
      <c r="M16" s="28">
        <v>-3.6151760587439782E-2</v>
      </c>
      <c r="N16" s="33">
        <v>0.19985190849387199</v>
      </c>
      <c r="O16" s="28">
        <v>3.0303275018758323E-3</v>
      </c>
      <c r="P16" s="28">
        <v>1</v>
      </c>
      <c r="Q16" s="46"/>
      <c r="R16" s="28"/>
    </row>
    <row r="17" spans="1:18" ht="30" customHeight="1" x14ac:dyDescent="0.3">
      <c r="A17" s="15" t="s">
        <v>16</v>
      </c>
      <c r="B17" s="17" t="s">
        <v>30</v>
      </c>
      <c r="C17" s="24">
        <v>0.6450775485380742</v>
      </c>
      <c r="D17" s="20">
        <v>0.18222593760747169</v>
      </c>
      <c r="E17" s="37">
        <v>-1.0416787513384145E-3</v>
      </c>
      <c r="F17" s="24">
        <v>0.5844424023609669</v>
      </c>
      <c r="G17" s="24">
        <v>-0.33260799279443093</v>
      </c>
      <c r="H17" s="28">
        <v>-0.65734276695884686</v>
      </c>
      <c r="I17" s="20">
        <v>4.9466444579787161E-2</v>
      </c>
      <c r="J17" s="24">
        <v>0.62704712094652837</v>
      </c>
      <c r="K17" s="24">
        <v>0.62926403855085666</v>
      </c>
      <c r="L17" s="24">
        <v>0.48007850812433844</v>
      </c>
      <c r="M17" s="24">
        <v>0.51706506138237807</v>
      </c>
      <c r="N17" s="20">
        <v>1.1279667191086935E-2</v>
      </c>
      <c r="O17" s="24">
        <v>0.59606846539401981</v>
      </c>
      <c r="P17" s="28">
        <v>0.41055215074252677</v>
      </c>
      <c r="Q17" s="46">
        <v>1</v>
      </c>
      <c r="R17" s="28"/>
    </row>
    <row r="18" spans="1:18" s="30" customFormat="1" ht="30" customHeight="1" thickBot="1" x14ac:dyDescent="0.35">
      <c r="A18" s="26" t="s">
        <v>81</v>
      </c>
      <c r="B18" s="44" t="s">
        <v>82</v>
      </c>
      <c r="C18" s="29">
        <v>-7.7088675427103126E-2</v>
      </c>
      <c r="D18" s="39">
        <v>0.59547318825746087</v>
      </c>
      <c r="E18" s="41">
        <v>0.24678022107424225</v>
      </c>
      <c r="F18" s="29">
        <v>-0.27060990000819768</v>
      </c>
      <c r="G18" s="29">
        <v>0.26726058475531256</v>
      </c>
      <c r="H18" s="29">
        <v>0.35504508507628851</v>
      </c>
      <c r="I18" s="39">
        <v>-1.0216752400340803E-2</v>
      </c>
      <c r="J18" s="29">
        <v>-0.31138404344073678</v>
      </c>
      <c r="K18" s="29">
        <v>-0.30015961382690831</v>
      </c>
      <c r="L18" s="29">
        <v>-0.24008644369159646</v>
      </c>
      <c r="M18" s="29">
        <v>-0.33431438677956626</v>
      </c>
      <c r="N18" s="39">
        <v>0.21105739511944799</v>
      </c>
      <c r="O18" s="29">
        <v>-0.33674313802783568</v>
      </c>
      <c r="P18" s="29">
        <v>0.85405761561921356</v>
      </c>
      <c r="Q18" s="49">
        <v>-0.12368280138839702</v>
      </c>
      <c r="R18" s="29">
        <v>1</v>
      </c>
    </row>
    <row r="20" spans="1:18" ht="30" customHeight="1" x14ac:dyDescent="0.3">
      <c r="A20" s="52" t="s">
        <v>88</v>
      </c>
    </row>
    <row r="21" spans="1:18" ht="30" customHeight="1" x14ac:dyDescent="0.3">
      <c r="A21" s="15" t="s">
        <v>89</v>
      </c>
    </row>
    <row r="22" spans="1:18" ht="30" customHeight="1" x14ac:dyDescent="0.3">
      <c r="A22" s="22" t="s">
        <v>90</v>
      </c>
    </row>
    <row r="23" spans="1:18" ht="30" customHeight="1" x14ac:dyDescent="0.3">
      <c r="A23" s="51" t="s">
        <v>91</v>
      </c>
    </row>
    <row r="24" spans="1:18" ht="30" customHeight="1" x14ac:dyDescent="0.3">
      <c r="A24" s="26" t="s">
        <v>92</v>
      </c>
    </row>
    <row r="39" spans="3:3" ht="30" customHeight="1" x14ac:dyDescent="0.3">
      <c r="C39" s="22"/>
    </row>
    <row r="41" spans="3:3" ht="30" customHeight="1" x14ac:dyDescent="0.3">
      <c r="C41" s="22"/>
    </row>
    <row r="43" spans="3:3" ht="30" customHeight="1" x14ac:dyDescent="0.3">
      <c r="C43" s="22"/>
    </row>
    <row r="45" spans="3:3" ht="30" customHeight="1" x14ac:dyDescent="0.3">
      <c r="C45" s="22"/>
    </row>
    <row r="47" spans="3:3" ht="30" customHeight="1" x14ac:dyDescent="0.3">
      <c r="C47" s="22"/>
    </row>
    <row r="49" spans="3:3" ht="30" customHeight="1" x14ac:dyDescent="0.3">
      <c r="C49" s="22"/>
    </row>
    <row r="51" spans="3:3" ht="30" customHeight="1" x14ac:dyDescent="0.3">
      <c r="C51" s="22"/>
    </row>
  </sheetData>
  <conditionalFormatting sqref="C3:R5 C7:R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6:R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T197"/>
  <sheetViews>
    <sheetView topLeftCell="Z1" zoomScale="70" zoomScaleNormal="70" workbookViewId="0">
      <selection activeCell="AD1" sqref="AD1:AT187"/>
    </sheetView>
  </sheetViews>
  <sheetFormatPr defaultColWidth="9.109375" defaultRowHeight="14.4" x14ac:dyDescent="0.3"/>
  <cols>
    <col min="1" max="1" width="15.109375" style="34" bestFit="1" customWidth="1"/>
    <col min="2" max="2" width="15" style="43" bestFit="1" customWidth="1"/>
    <col min="3" max="3" width="14.5546875" style="34" bestFit="1" customWidth="1"/>
    <col min="4" max="4" width="10.44140625" style="34" bestFit="1" customWidth="1"/>
    <col min="5" max="5" width="9.88671875" style="43" bestFit="1" customWidth="1"/>
    <col min="6" max="7" width="11.33203125" style="34" bestFit="1" customWidth="1"/>
    <col min="8" max="8" width="8.6640625" style="34" bestFit="1" customWidth="1"/>
    <col min="9" max="10" width="12.6640625" style="34" bestFit="1" customWidth="1"/>
    <col min="11" max="11" width="10.88671875" style="43" bestFit="1" customWidth="1"/>
    <col min="12" max="12" width="14" style="17" bestFit="1" customWidth="1"/>
    <col min="13" max="13" width="16.33203125" style="30" customWidth="1"/>
    <col min="14" max="14" width="13.88671875" style="17" customWidth="1"/>
    <col min="15" max="15" width="9.109375" customWidth="1"/>
    <col min="16" max="16" width="10.109375" style="2" customWidth="1"/>
    <col min="17" max="17" width="9.109375" customWidth="1"/>
    <col min="18" max="18" width="8.5546875" style="2" customWidth="1"/>
    <col min="19" max="19" width="9.109375" customWidth="1"/>
    <col min="20" max="20" width="8.5546875" style="2" customWidth="1"/>
    <col min="21" max="21" width="9.109375" customWidth="1"/>
    <col min="22" max="22" width="8.5546875" style="2" customWidth="1"/>
    <col min="23" max="23" width="9.109375" customWidth="1"/>
    <col min="24" max="24" width="10.5546875" style="2" customWidth="1"/>
    <col min="25" max="25" width="9.109375" customWidth="1"/>
    <col min="26" max="26" width="8.5546875" style="2" customWidth="1"/>
    <col min="27" max="27" width="9.109375" customWidth="1"/>
    <col min="28" max="28" width="8.5546875" customWidth="1"/>
    <col min="29" max="29" width="9.109375" customWidth="1"/>
    <col min="30" max="30" width="15.109375" style="34" customWidth="1"/>
    <col min="31" max="31" width="15" style="43" customWidth="1"/>
    <col min="32" max="32" width="14.5546875" style="34" customWidth="1"/>
    <col min="33" max="33" width="10.44140625" style="34" customWidth="1"/>
    <col min="34" max="34" width="9.88671875" style="43" customWidth="1"/>
    <col min="35" max="36" width="11.33203125" style="34" customWidth="1"/>
    <col min="37" max="37" width="8.6640625" style="34" customWidth="1"/>
    <col min="38" max="39" width="12.6640625" style="34" customWidth="1"/>
    <col min="40" max="40" width="10.88671875" style="43" customWidth="1"/>
    <col min="41" max="41" width="14" style="17" customWidth="1"/>
    <col min="42" max="42" width="9" style="30" bestFit="1" customWidth="1"/>
    <col min="43" max="43" width="13.88671875" style="17" customWidth="1"/>
    <col min="44" max="44" width="9.109375" customWidth="1"/>
    <col min="45" max="45" width="24.44140625" style="61" customWidth="1"/>
    <col min="46" max="46" width="23.6640625" style="61" customWidth="1"/>
  </cols>
  <sheetData>
    <row r="1" spans="1:46" ht="86.4" x14ac:dyDescent="0.3">
      <c r="A1" s="22" t="s">
        <v>11</v>
      </c>
      <c r="B1" s="26" t="s">
        <v>3</v>
      </c>
      <c r="C1" s="22" t="s">
        <v>4</v>
      </c>
      <c r="D1" s="22" t="s">
        <v>5</v>
      </c>
      <c r="E1" s="26" t="s">
        <v>7</v>
      </c>
      <c r="F1" s="22" t="s">
        <v>9</v>
      </c>
      <c r="G1" s="22" t="s">
        <v>10</v>
      </c>
      <c r="H1" s="22" t="s">
        <v>12</v>
      </c>
      <c r="I1" s="22" t="s">
        <v>13</v>
      </c>
      <c r="J1" s="22" t="s">
        <v>15</v>
      </c>
      <c r="K1" s="26" t="s">
        <v>17</v>
      </c>
      <c r="L1" s="15" t="s">
        <v>16</v>
      </c>
      <c r="M1" s="26" t="s">
        <v>81</v>
      </c>
      <c r="N1" s="15" t="s">
        <v>97</v>
      </c>
      <c r="P1" s="3" t="s">
        <v>32</v>
      </c>
      <c r="Q1" t="s">
        <v>0</v>
      </c>
      <c r="R1" s="3" t="s">
        <v>33</v>
      </c>
      <c r="S1" t="s">
        <v>34</v>
      </c>
      <c r="T1" s="3" t="s">
        <v>35</v>
      </c>
      <c r="U1" t="s">
        <v>44</v>
      </c>
      <c r="V1" s="3" t="s">
        <v>36</v>
      </c>
      <c r="W1" t="s">
        <v>37</v>
      </c>
      <c r="X1" s="3" t="s">
        <v>0</v>
      </c>
      <c r="Y1" t="s">
        <v>39</v>
      </c>
      <c r="Z1" s="3" t="s">
        <v>36</v>
      </c>
      <c r="AA1" t="s">
        <v>37</v>
      </c>
      <c r="AB1" s="3" t="s">
        <v>43</v>
      </c>
      <c r="AD1" s="22" t="s">
        <v>11</v>
      </c>
      <c r="AE1" s="26" t="s">
        <v>3</v>
      </c>
      <c r="AF1" s="22" t="s">
        <v>4</v>
      </c>
      <c r="AG1" s="22" t="s">
        <v>5</v>
      </c>
      <c r="AH1" s="26" t="s">
        <v>7</v>
      </c>
      <c r="AI1" s="22" t="s">
        <v>9</v>
      </c>
      <c r="AJ1" s="22" t="s">
        <v>10</v>
      </c>
      <c r="AK1" s="22" t="s">
        <v>12</v>
      </c>
      <c r="AL1" s="22" t="s">
        <v>13</v>
      </c>
      <c r="AM1" s="22" t="s">
        <v>15</v>
      </c>
      <c r="AN1" s="26" t="s">
        <v>17</v>
      </c>
      <c r="AO1" s="15" t="s">
        <v>16</v>
      </c>
      <c r="AP1" s="26" t="s">
        <v>81</v>
      </c>
      <c r="AQ1" s="15" t="s">
        <v>97</v>
      </c>
      <c r="AS1" s="15" t="s">
        <v>99</v>
      </c>
      <c r="AT1" s="15" t="s">
        <v>100</v>
      </c>
    </row>
    <row r="2" spans="1:46" ht="43.2" x14ac:dyDescent="0.3">
      <c r="A2" s="22" t="s">
        <v>18</v>
      </c>
      <c r="B2" s="26" t="s">
        <v>20</v>
      </c>
      <c r="C2" s="22" t="s">
        <v>21</v>
      </c>
      <c r="D2" s="22" t="s">
        <v>6</v>
      </c>
      <c r="E2" s="26" t="s">
        <v>22</v>
      </c>
      <c r="F2" s="22" t="s">
        <v>24</v>
      </c>
      <c r="G2" s="22" t="s">
        <v>25</v>
      </c>
      <c r="H2" s="22" t="s">
        <v>26</v>
      </c>
      <c r="I2" s="22" t="s">
        <v>31</v>
      </c>
      <c r="J2" s="22" t="s">
        <v>28</v>
      </c>
      <c r="K2" s="26" t="s">
        <v>29</v>
      </c>
      <c r="L2" s="15" t="s">
        <v>30</v>
      </c>
      <c r="M2" s="26" t="s">
        <v>82</v>
      </c>
      <c r="N2" s="15" t="s">
        <v>96</v>
      </c>
      <c r="P2" s="3" t="s">
        <v>18</v>
      </c>
      <c r="Q2">
        <v>185</v>
      </c>
      <c r="R2" s="3">
        <v>170</v>
      </c>
      <c r="S2">
        <v>750</v>
      </c>
      <c r="T2" s="3">
        <v>477.04864864864862</v>
      </c>
      <c r="U2">
        <v>480</v>
      </c>
      <c r="V2" s="3">
        <v>0</v>
      </c>
      <c r="W2">
        <v>0</v>
      </c>
      <c r="X2" s="3">
        <v>185</v>
      </c>
      <c r="Z2" s="3"/>
      <c r="AB2" s="4">
        <v>186.15054336305218</v>
      </c>
      <c r="AD2" s="22" t="s">
        <v>18</v>
      </c>
      <c r="AE2" s="26" t="s">
        <v>20</v>
      </c>
      <c r="AF2" s="22" t="s">
        <v>21</v>
      </c>
      <c r="AG2" s="22" t="s">
        <v>6</v>
      </c>
      <c r="AH2" s="26" t="s">
        <v>22</v>
      </c>
      <c r="AI2" s="22" t="s">
        <v>24</v>
      </c>
      <c r="AJ2" s="22" t="s">
        <v>25</v>
      </c>
      <c r="AK2" s="22" t="s">
        <v>26</v>
      </c>
      <c r="AL2" s="22" t="s">
        <v>31</v>
      </c>
      <c r="AM2" s="22" t="s">
        <v>28</v>
      </c>
      <c r="AN2" s="26" t="s">
        <v>29</v>
      </c>
      <c r="AO2" s="15" t="s">
        <v>30</v>
      </c>
      <c r="AP2" s="26" t="s">
        <v>82</v>
      </c>
      <c r="AQ2" s="15" t="s">
        <v>96</v>
      </c>
      <c r="AS2" s="62" t="s">
        <v>30</v>
      </c>
      <c r="AT2" s="62" t="s">
        <v>30</v>
      </c>
    </row>
    <row r="3" spans="1:46" x14ac:dyDescent="0.3">
      <c r="A3" s="55">
        <v>720</v>
      </c>
      <c r="B3" s="57">
        <v>2</v>
      </c>
      <c r="C3" s="55">
        <v>350</v>
      </c>
      <c r="D3" s="55">
        <v>1.75</v>
      </c>
      <c r="E3" s="57">
        <v>0.83899999999999997</v>
      </c>
      <c r="F3" s="55">
        <v>69.7</v>
      </c>
      <c r="G3" s="55">
        <v>186.6</v>
      </c>
      <c r="H3" s="55">
        <v>36.5</v>
      </c>
      <c r="I3" s="55">
        <v>3.8999999999999998E-3</v>
      </c>
      <c r="J3" s="55">
        <v>285</v>
      </c>
      <c r="K3" s="57">
        <v>55.158999999999999</v>
      </c>
      <c r="L3" s="53">
        <v>51.655000000000001</v>
      </c>
      <c r="M3" s="60">
        <f t="shared" ref="M3:M66" si="0">K3-L3</f>
        <v>3.5039999999999978</v>
      </c>
      <c r="N3" s="54">
        <f>IF(L3&lt;$T$16,0,1)</f>
        <v>1</v>
      </c>
      <c r="P3" s="6" t="s">
        <v>19</v>
      </c>
      <c r="Q3">
        <v>185</v>
      </c>
      <c r="R3" s="6">
        <v>3</v>
      </c>
      <c r="S3">
        <v>11</v>
      </c>
      <c r="T3" s="6">
        <v>4.9513513513513514</v>
      </c>
      <c r="U3">
        <v>5</v>
      </c>
      <c r="V3" s="6">
        <v>0</v>
      </c>
      <c r="W3">
        <v>25</v>
      </c>
      <c r="X3" s="6">
        <v>185</v>
      </c>
      <c r="Z3" s="6"/>
      <c r="AB3" s="8">
        <v>2.2872070519975676</v>
      </c>
      <c r="AD3" s="55">
        <f>(A3-$R$2)/($S$2-$R$2)</f>
        <v>0.94827586206896552</v>
      </c>
      <c r="AE3" s="57">
        <f>(B3-$R$4)/($S$4-$R$4)</f>
        <v>7.407407407407407E-2</v>
      </c>
      <c r="AF3" s="55">
        <f>(C3-$R$5)/($S$5-$R$5)</f>
        <v>0.75921908893709322</v>
      </c>
      <c r="AG3" s="55">
        <f>(D3-$R$6)/($S$6-$R$6)</f>
        <v>0.12015503875968993</v>
      </c>
      <c r="AH3" s="57">
        <f>(E3-$R$7)/($S$7-$R$7)</f>
        <v>0.21604477611940298</v>
      </c>
      <c r="AI3" s="55">
        <f>(F3-$R$9)/($S$9-$R$9)</f>
        <v>0.68467583497053053</v>
      </c>
      <c r="AJ3" s="55">
        <f>(G3-$R$10)/($S$10-$R$10)</f>
        <v>0.69891500904159132</v>
      </c>
      <c r="AK3" s="55">
        <f>(H3-$R$11)/($S$11-$R$11)</f>
        <v>0.45833333333333331</v>
      </c>
      <c r="AL3" s="55">
        <f>(I3-$R$12)/($S$12-$R$12)</f>
        <v>0.3967490622294893</v>
      </c>
      <c r="AM3" s="55">
        <f>(J3-$R$14)/($S$14-$R$14)</f>
        <v>0.71250000000000002</v>
      </c>
      <c r="AN3" s="57">
        <f>(K3-$R$15)/($S$15-$R$15)</f>
        <v>0.15884733555212255</v>
      </c>
      <c r="AO3" s="53">
        <f>(L3-$R$16)/($S$16-$R$16)</f>
        <v>0.41907415832575068</v>
      </c>
      <c r="AP3" s="57">
        <f>(M3-$R$17)/($S$17-$R$17)</f>
        <v>8.8756489000329647E-3</v>
      </c>
      <c r="AQ3" s="54">
        <f t="shared" ref="AQ3:AQ34" si="1">IF(L3&lt;$T$16,0,1)</f>
        <v>1</v>
      </c>
      <c r="AS3" s="61" t="str">
        <f>IF(L3&lt;$T$16,L3,"")</f>
        <v/>
      </c>
      <c r="AT3" s="61">
        <f>IF(L3&gt;$T$16,L3,"")</f>
        <v>51.655000000000001</v>
      </c>
    </row>
    <row r="4" spans="1:46" x14ac:dyDescent="0.3">
      <c r="A4" s="55">
        <v>700</v>
      </c>
      <c r="B4" s="57">
        <v>4</v>
      </c>
      <c r="C4" s="55">
        <v>360</v>
      </c>
      <c r="D4" s="55">
        <v>0.6</v>
      </c>
      <c r="E4" s="57">
        <v>0.73</v>
      </c>
      <c r="F4" s="55">
        <v>60.8</v>
      </c>
      <c r="G4" s="55">
        <v>121.7</v>
      </c>
      <c r="H4" s="55">
        <v>38.24</v>
      </c>
      <c r="I4" s="55">
        <v>4.0899999999999999E-3</v>
      </c>
      <c r="J4" s="55">
        <v>360</v>
      </c>
      <c r="K4" s="57">
        <v>131.84899999999999</v>
      </c>
      <c r="L4" s="53">
        <v>94.090999999999994</v>
      </c>
      <c r="M4" s="60">
        <f t="shared" si="0"/>
        <v>37.757999999999996</v>
      </c>
      <c r="N4" s="54">
        <f t="shared" ref="N4:N67" si="2">IF(L4&lt;$T$16,0,1)</f>
        <v>1</v>
      </c>
      <c r="P4" s="6" t="s">
        <v>20</v>
      </c>
      <c r="Q4">
        <v>185</v>
      </c>
      <c r="R4" s="6">
        <v>0.8</v>
      </c>
      <c r="S4">
        <v>17</v>
      </c>
      <c r="T4" s="6">
        <v>5.6659459459459462</v>
      </c>
      <c r="U4">
        <v>5</v>
      </c>
      <c r="V4" s="6">
        <v>0</v>
      </c>
      <c r="W4">
        <v>8</v>
      </c>
      <c r="X4" s="6">
        <v>185</v>
      </c>
      <c r="Z4" s="6"/>
      <c r="AB4" s="8">
        <v>3.3373181919699513</v>
      </c>
      <c r="AD4" s="55">
        <f t="shared" ref="AD4:AD67" si="3">(A4-$R$2)/($S$2-$R$2)</f>
        <v>0.91379310344827591</v>
      </c>
      <c r="AE4" s="57">
        <f t="shared" ref="AE4:AE67" si="4">(B4-$R$4)/($S$4-$R$4)</f>
        <v>0.19753086419753088</v>
      </c>
      <c r="AF4" s="55">
        <f t="shared" ref="AF4:AF67" si="5">(C4-$R$5)/($S$5-$R$5)</f>
        <v>0.78091106290672452</v>
      </c>
      <c r="AG4" s="55">
        <f t="shared" ref="AG4:AG67" si="6">(D4-$R$6)/($S$6-$R$6)</f>
        <v>3.1007751937984492E-2</v>
      </c>
      <c r="AH4" s="57">
        <f t="shared" ref="AH4:AH67" si="7">(E4-$R$7)/($S$7-$R$7)</f>
        <v>0.17537313432835822</v>
      </c>
      <c r="AI4" s="55">
        <f t="shared" ref="AI4:AI67" si="8">(F4-$R$9)/($S$9-$R$9)</f>
        <v>0.59724950884086447</v>
      </c>
      <c r="AJ4" s="55">
        <f t="shared" ref="AJ4:AJ67" si="9">(G4-$R$10)/($S$10-$R$10)</f>
        <v>0.40551537070524418</v>
      </c>
      <c r="AK4" s="55">
        <f t="shared" ref="AK4:AK67" si="10">(H4-$R$11)/($S$11-$R$11)</f>
        <v>0.48733333333333334</v>
      </c>
      <c r="AL4" s="55">
        <f t="shared" ref="AL4:AL67" si="11">(I4-$R$12)/($S$12-$R$12)</f>
        <v>0.41959219005482351</v>
      </c>
      <c r="AM4" s="55">
        <f t="shared" ref="AM4:AM67" si="12">(J4-$R$14)/($S$14-$R$14)</f>
        <v>0.9</v>
      </c>
      <c r="AN4" s="57">
        <f t="shared" ref="AN4:AN67" si="13">(K4-$R$15)/($S$15-$R$15)</f>
        <v>0.42389241982809567</v>
      </c>
      <c r="AO4" s="53">
        <f t="shared" ref="AO4:AO67" si="14">(L4-$R$16)/($S$16-$R$16)</f>
        <v>0.76383562979331854</v>
      </c>
      <c r="AP4" s="57">
        <f t="shared" ref="AP4:AP67" si="15">(M4-$R$17)/($S$17-$R$17)</f>
        <v>0.14020458083166557</v>
      </c>
      <c r="AQ4" s="54">
        <f t="shared" si="1"/>
        <v>1</v>
      </c>
      <c r="AS4" s="61" t="str">
        <f t="shared" ref="AS4:AS67" si="16">IF(L4&lt;$T$16,L4,"")</f>
        <v/>
      </c>
      <c r="AT4" s="61">
        <f t="shared" ref="AT4:AT67" si="17">IF(L4&gt;$T$16,L4,"")</f>
        <v>94.090999999999994</v>
      </c>
    </row>
    <row r="5" spans="1:46" x14ac:dyDescent="0.3">
      <c r="A5" s="55">
        <v>660</v>
      </c>
      <c r="B5" s="57">
        <v>1.4</v>
      </c>
      <c r="C5" s="55">
        <v>345</v>
      </c>
      <c r="D5" s="55">
        <v>1.8</v>
      </c>
      <c r="E5" s="57">
        <v>0.73</v>
      </c>
      <c r="F5" s="55">
        <v>50</v>
      </c>
      <c r="G5" s="55">
        <v>142</v>
      </c>
      <c r="H5" s="55">
        <v>29</v>
      </c>
      <c r="I5" s="55">
        <v>5.0000000000000001E-3</v>
      </c>
      <c r="J5" s="55">
        <v>280</v>
      </c>
      <c r="K5" s="57">
        <v>39.957000000000001</v>
      </c>
      <c r="L5" s="53">
        <v>24.562999999999999</v>
      </c>
      <c r="M5" s="60">
        <f t="shared" si="0"/>
        <v>15.394000000000002</v>
      </c>
      <c r="N5" s="54">
        <f t="shared" si="2"/>
        <v>0</v>
      </c>
      <c r="P5" s="6" t="s">
        <v>21</v>
      </c>
      <c r="Q5">
        <v>185</v>
      </c>
      <c r="R5" s="6">
        <v>0</v>
      </c>
      <c r="S5">
        <v>461</v>
      </c>
      <c r="T5" s="6">
        <v>229.18378378378378</v>
      </c>
      <c r="U5">
        <v>165</v>
      </c>
      <c r="V5" s="6">
        <v>0</v>
      </c>
      <c r="W5">
        <v>0</v>
      </c>
      <c r="X5" s="6">
        <v>185</v>
      </c>
      <c r="Z5" s="6"/>
      <c r="AB5" s="8">
        <v>112.59541247101593</v>
      </c>
      <c r="AD5" s="55">
        <f t="shared" si="3"/>
        <v>0.84482758620689657</v>
      </c>
      <c r="AE5" s="57">
        <f t="shared" si="4"/>
        <v>3.7037037037037028E-2</v>
      </c>
      <c r="AF5" s="55">
        <f t="shared" si="5"/>
        <v>0.74837310195227769</v>
      </c>
      <c r="AG5" s="55">
        <f t="shared" si="6"/>
        <v>0.12403100775193798</v>
      </c>
      <c r="AH5" s="57">
        <f t="shared" si="7"/>
        <v>0.17537313432835822</v>
      </c>
      <c r="AI5" s="55">
        <f t="shared" si="8"/>
        <v>0.49115913555992141</v>
      </c>
      <c r="AJ5" s="55">
        <f t="shared" si="9"/>
        <v>0.49728752260397835</v>
      </c>
      <c r="AK5" s="55">
        <f t="shared" si="10"/>
        <v>0.33333333333333331</v>
      </c>
      <c r="AL5" s="55">
        <f t="shared" si="11"/>
        <v>0.52899874963931914</v>
      </c>
      <c r="AM5" s="55">
        <f t="shared" si="12"/>
        <v>0.7</v>
      </c>
      <c r="AN5" s="57">
        <f t="shared" si="13"/>
        <v>0.10630834257828836</v>
      </c>
      <c r="AO5" s="53">
        <f t="shared" si="14"/>
        <v>0.19897146756791889</v>
      </c>
      <c r="AP5" s="57">
        <f t="shared" si="15"/>
        <v>5.446159508637944E-2</v>
      </c>
      <c r="AQ5" s="54">
        <f t="shared" si="1"/>
        <v>0</v>
      </c>
      <c r="AS5" s="61">
        <f t="shared" si="16"/>
        <v>24.562999999999999</v>
      </c>
      <c r="AT5" s="61" t="str">
        <f t="shared" si="17"/>
        <v/>
      </c>
    </row>
    <row r="6" spans="1:46" x14ac:dyDescent="0.3">
      <c r="A6" s="55">
        <v>650</v>
      </c>
      <c r="B6" s="57">
        <v>1.9</v>
      </c>
      <c r="C6" s="55">
        <v>335</v>
      </c>
      <c r="D6" s="55">
        <v>2</v>
      </c>
      <c r="E6" s="57">
        <v>0.7</v>
      </c>
      <c r="F6" s="55">
        <v>50</v>
      </c>
      <c r="G6" s="55">
        <v>133.36000000000001</v>
      </c>
      <c r="H6" s="55">
        <v>40.338999999999999</v>
      </c>
      <c r="I6" s="55">
        <v>2.6760999999999998E-3</v>
      </c>
      <c r="J6" s="55">
        <v>270</v>
      </c>
      <c r="K6" s="57">
        <v>52.427999999999997</v>
      </c>
      <c r="L6" s="53">
        <v>44.103000000000002</v>
      </c>
      <c r="M6" s="60">
        <f t="shared" si="0"/>
        <v>8.3249999999999957</v>
      </c>
      <c r="N6" s="54">
        <f t="shared" si="2"/>
        <v>1</v>
      </c>
      <c r="P6" s="6" t="s">
        <v>6</v>
      </c>
      <c r="Q6">
        <v>185</v>
      </c>
      <c r="R6" s="6">
        <v>0.2</v>
      </c>
      <c r="S6">
        <v>13.1</v>
      </c>
      <c r="T6" s="6">
        <v>2.6968648648648652</v>
      </c>
      <c r="U6">
        <v>2.2999999999999998</v>
      </c>
      <c r="V6" s="6">
        <v>0</v>
      </c>
      <c r="W6">
        <v>4</v>
      </c>
      <c r="X6" s="6">
        <v>185</v>
      </c>
      <c r="Z6" s="6"/>
      <c r="AB6" s="8">
        <v>2.0328521696364854</v>
      </c>
      <c r="AD6" s="55">
        <f t="shared" si="3"/>
        <v>0.82758620689655171</v>
      </c>
      <c r="AE6" s="57">
        <f t="shared" si="4"/>
        <v>6.7901234567901231E-2</v>
      </c>
      <c r="AF6" s="55">
        <f t="shared" si="5"/>
        <v>0.72668112798264639</v>
      </c>
      <c r="AG6" s="55">
        <f t="shared" si="6"/>
        <v>0.13953488372093023</v>
      </c>
      <c r="AH6" s="57">
        <f t="shared" si="7"/>
        <v>0.16417910447761194</v>
      </c>
      <c r="AI6" s="55">
        <f t="shared" si="8"/>
        <v>0.49115913555992141</v>
      </c>
      <c r="AJ6" s="55">
        <f t="shared" si="9"/>
        <v>0.45822784810126593</v>
      </c>
      <c r="AK6" s="55">
        <f t="shared" si="10"/>
        <v>0.52231666666666665</v>
      </c>
      <c r="AL6" s="55">
        <f t="shared" si="11"/>
        <v>0.24960325093777053</v>
      </c>
      <c r="AM6" s="55">
        <f t="shared" si="12"/>
        <v>0.67500000000000004</v>
      </c>
      <c r="AN6" s="57">
        <f t="shared" si="13"/>
        <v>0.14940884128745069</v>
      </c>
      <c r="AO6" s="53">
        <f t="shared" si="14"/>
        <v>0.35771968022877942</v>
      </c>
      <c r="AP6" s="57">
        <f t="shared" si="15"/>
        <v>2.7359235659021711E-2</v>
      </c>
      <c r="AQ6" s="54">
        <f t="shared" si="1"/>
        <v>1</v>
      </c>
      <c r="AS6" s="61" t="str">
        <f t="shared" si="16"/>
        <v/>
      </c>
      <c r="AT6" s="61">
        <f t="shared" si="17"/>
        <v>44.103000000000002</v>
      </c>
    </row>
    <row r="7" spans="1:46" x14ac:dyDescent="0.3">
      <c r="A7" s="55">
        <v>675</v>
      </c>
      <c r="B7" s="57">
        <v>1.5</v>
      </c>
      <c r="C7" s="55">
        <v>325</v>
      </c>
      <c r="D7" s="55">
        <v>1.5</v>
      </c>
      <c r="E7" s="57">
        <v>0.73</v>
      </c>
      <c r="F7" s="55">
        <v>50</v>
      </c>
      <c r="G7" s="55">
        <v>161.1</v>
      </c>
      <c r="H7" s="55">
        <v>38.764000000000003</v>
      </c>
      <c r="I7" s="55">
        <v>3.3999999999999998E-3</v>
      </c>
      <c r="J7" s="55">
        <v>260</v>
      </c>
      <c r="K7" s="57">
        <v>57.533000000000001</v>
      </c>
      <c r="L7" s="53">
        <v>44.581000000000003</v>
      </c>
      <c r="M7" s="60">
        <f t="shared" si="0"/>
        <v>12.951999999999998</v>
      </c>
      <c r="N7" s="54">
        <f t="shared" si="2"/>
        <v>1</v>
      </c>
      <c r="P7" s="6" t="s">
        <v>22</v>
      </c>
      <c r="Q7">
        <v>185</v>
      </c>
      <c r="R7" s="6">
        <v>0.26</v>
      </c>
      <c r="S7">
        <v>2.94</v>
      </c>
      <c r="T7" s="6">
        <v>2.0794162162162149</v>
      </c>
      <c r="U7">
        <v>2.94</v>
      </c>
      <c r="V7" s="6">
        <v>0</v>
      </c>
      <c r="W7">
        <v>0</v>
      </c>
      <c r="X7" s="6">
        <v>185</v>
      </c>
      <c r="Z7" s="6"/>
      <c r="AB7" s="8">
        <v>1.0844036303108071</v>
      </c>
      <c r="AD7" s="55">
        <f t="shared" si="3"/>
        <v>0.87068965517241381</v>
      </c>
      <c r="AE7" s="57">
        <f t="shared" si="4"/>
        <v>4.3209876543209874E-2</v>
      </c>
      <c r="AF7" s="55">
        <f t="shared" si="5"/>
        <v>0.70498915401301521</v>
      </c>
      <c r="AG7" s="55">
        <f t="shared" si="6"/>
        <v>0.10077519379844961</v>
      </c>
      <c r="AH7" s="57">
        <f t="shared" si="7"/>
        <v>0.17537313432835822</v>
      </c>
      <c r="AI7" s="55">
        <f t="shared" si="8"/>
        <v>0.49115913555992141</v>
      </c>
      <c r="AJ7" s="55">
        <f t="shared" si="9"/>
        <v>0.58363471971066905</v>
      </c>
      <c r="AK7" s="55">
        <f t="shared" si="10"/>
        <v>0.49606666666666671</v>
      </c>
      <c r="AL7" s="55">
        <f t="shared" si="11"/>
        <v>0.33663556795229393</v>
      </c>
      <c r="AM7" s="55">
        <f t="shared" si="12"/>
        <v>0.65</v>
      </c>
      <c r="AN7" s="57">
        <f t="shared" si="13"/>
        <v>0.16705201712822321</v>
      </c>
      <c r="AO7" s="53">
        <f t="shared" si="14"/>
        <v>0.36160308072273495</v>
      </c>
      <c r="AP7" s="57">
        <f t="shared" si="15"/>
        <v>4.5099031538266887E-2</v>
      </c>
      <c r="AQ7" s="54">
        <f t="shared" si="1"/>
        <v>1</v>
      </c>
      <c r="AS7" s="61" t="str">
        <f t="shared" si="16"/>
        <v/>
      </c>
      <c r="AT7" s="61">
        <f t="shared" si="17"/>
        <v>44.581000000000003</v>
      </c>
    </row>
    <row r="8" spans="1:46" x14ac:dyDescent="0.3">
      <c r="A8" s="55">
        <v>680</v>
      </c>
      <c r="B8" s="57">
        <v>1.5</v>
      </c>
      <c r="C8" s="55">
        <v>280</v>
      </c>
      <c r="D8" s="55">
        <v>1.8</v>
      </c>
      <c r="E8" s="57">
        <v>0.73</v>
      </c>
      <c r="F8" s="55">
        <v>50</v>
      </c>
      <c r="G8" s="55">
        <v>171.07</v>
      </c>
      <c r="H8" s="55">
        <v>28.678000000000001</v>
      </c>
      <c r="I8" s="55">
        <v>3.2152999999999999E-3</v>
      </c>
      <c r="J8" s="55">
        <v>215</v>
      </c>
      <c r="K8" s="57">
        <v>64.39</v>
      </c>
      <c r="L8" s="53">
        <v>49.850999999999999</v>
      </c>
      <c r="M8" s="60">
        <f t="shared" si="0"/>
        <v>14.539000000000001</v>
      </c>
      <c r="N8" s="54">
        <f t="shared" si="2"/>
        <v>1</v>
      </c>
      <c r="P8" s="6" t="s">
        <v>23</v>
      </c>
      <c r="Q8">
        <v>185</v>
      </c>
      <c r="R8" s="6">
        <v>0</v>
      </c>
      <c r="S8">
        <v>352</v>
      </c>
      <c r="T8" s="6">
        <v>195.65528648648649</v>
      </c>
      <c r="U8">
        <v>219</v>
      </c>
      <c r="V8" s="6">
        <v>0</v>
      </c>
      <c r="W8">
        <v>0</v>
      </c>
      <c r="X8" s="6">
        <v>185</v>
      </c>
      <c r="Z8" s="6"/>
      <c r="AB8" s="8">
        <v>103.57316934890646</v>
      </c>
      <c r="AD8" s="55">
        <f t="shared" si="3"/>
        <v>0.87931034482758619</v>
      </c>
      <c r="AE8" s="57">
        <f t="shared" si="4"/>
        <v>4.3209876543209874E-2</v>
      </c>
      <c r="AF8" s="55">
        <f t="shared" si="5"/>
        <v>0.6073752711496746</v>
      </c>
      <c r="AG8" s="55">
        <f t="shared" si="6"/>
        <v>0.12403100775193798</v>
      </c>
      <c r="AH8" s="57">
        <f t="shared" si="7"/>
        <v>0.17537313432835822</v>
      </c>
      <c r="AI8" s="55">
        <f t="shared" si="8"/>
        <v>0.49115913555992141</v>
      </c>
      <c r="AJ8" s="55">
        <f t="shared" si="9"/>
        <v>0.62870705244122971</v>
      </c>
      <c r="AK8" s="55">
        <f t="shared" si="10"/>
        <v>0.32796666666666668</v>
      </c>
      <c r="AL8" s="55">
        <f t="shared" si="11"/>
        <v>0.31442964316629801</v>
      </c>
      <c r="AM8" s="55">
        <f t="shared" si="12"/>
        <v>0.53749999999999998</v>
      </c>
      <c r="AN8" s="57">
        <f t="shared" si="13"/>
        <v>0.19075020649946259</v>
      </c>
      <c r="AO8" s="53">
        <f t="shared" si="14"/>
        <v>0.40441797738203561</v>
      </c>
      <c r="AP8" s="57">
        <f t="shared" si="15"/>
        <v>5.1183547652457972E-2</v>
      </c>
      <c r="AQ8" s="54">
        <f t="shared" si="1"/>
        <v>1</v>
      </c>
      <c r="AS8" s="61" t="str">
        <f t="shared" si="16"/>
        <v/>
      </c>
      <c r="AT8" s="61">
        <f t="shared" si="17"/>
        <v>49.850999999999999</v>
      </c>
    </row>
    <row r="9" spans="1:46" x14ac:dyDescent="0.3">
      <c r="A9" s="55">
        <v>670</v>
      </c>
      <c r="B9" s="57">
        <v>2.2000000000000002</v>
      </c>
      <c r="C9" s="55">
        <v>323</v>
      </c>
      <c r="D9" s="55">
        <v>1.8</v>
      </c>
      <c r="E9" s="57">
        <v>0.73</v>
      </c>
      <c r="F9" s="55">
        <v>50</v>
      </c>
      <c r="G9" s="55">
        <v>119.57</v>
      </c>
      <c r="H9" s="55">
        <v>33.802999999999997</v>
      </c>
      <c r="I9" s="55">
        <v>4.3206E-3</v>
      </c>
      <c r="J9" s="55">
        <v>258</v>
      </c>
      <c r="K9" s="57">
        <v>44.063000000000002</v>
      </c>
      <c r="L9" s="53">
        <v>25.088999999999999</v>
      </c>
      <c r="M9" s="60">
        <f t="shared" si="0"/>
        <v>18.974000000000004</v>
      </c>
      <c r="N9" s="54">
        <f t="shared" si="2"/>
        <v>0</v>
      </c>
      <c r="P9" s="6" t="s">
        <v>24</v>
      </c>
      <c r="Q9">
        <v>185</v>
      </c>
      <c r="R9" s="6">
        <v>0</v>
      </c>
      <c r="S9">
        <v>101.8</v>
      </c>
      <c r="T9" s="6">
        <v>29.689729729729741</v>
      </c>
      <c r="U9">
        <v>10</v>
      </c>
      <c r="V9" s="6">
        <v>0</v>
      </c>
      <c r="W9">
        <v>0</v>
      </c>
      <c r="X9" s="6">
        <v>185</v>
      </c>
      <c r="Z9" s="6"/>
      <c r="AB9" s="8">
        <v>29.21836945336808</v>
      </c>
      <c r="AD9" s="55">
        <f t="shared" si="3"/>
        <v>0.86206896551724133</v>
      </c>
      <c r="AE9" s="57">
        <f t="shared" si="4"/>
        <v>8.6419753086419762E-2</v>
      </c>
      <c r="AF9" s="55">
        <f t="shared" si="5"/>
        <v>0.70065075921908893</v>
      </c>
      <c r="AG9" s="55">
        <f t="shared" si="6"/>
        <v>0.12403100775193798</v>
      </c>
      <c r="AH9" s="57">
        <f t="shared" si="7"/>
        <v>0.17537313432835822</v>
      </c>
      <c r="AI9" s="55">
        <f t="shared" si="8"/>
        <v>0.49115913555992141</v>
      </c>
      <c r="AJ9" s="55">
        <f t="shared" si="9"/>
        <v>0.39588607594936709</v>
      </c>
      <c r="AK9" s="55">
        <f t="shared" si="10"/>
        <v>0.41338333333333327</v>
      </c>
      <c r="AL9" s="55">
        <f t="shared" si="11"/>
        <v>0.44731653361546603</v>
      </c>
      <c r="AM9" s="55">
        <f t="shared" si="12"/>
        <v>0.64500000000000002</v>
      </c>
      <c r="AN9" s="57">
        <f t="shared" si="13"/>
        <v>0.12049891652583231</v>
      </c>
      <c r="AO9" s="53">
        <f t="shared" si="14"/>
        <v>0.20324483296503315</v>
      </c>
      <c r="AP9" s="57">
        <f t="shared" si="15"/>
        <v>6.8187220599173412E-2</v>
      </c>
      <c r="AQ9" s="54">
        <f t="shared" si="1"/>
        <v>0</v>
      </c>
      <c r="AS9" s="61">
        <f t="shared" si="16"/>
        <v>25.088999999999999</v>
      </c>
      <c r="AT9" s="61" t="str">
        <f t="shared" si="17"/>
        <v/>
      </c>
    </row>
    <row r="10" spans="1:46" x14ac:dyDescent="0.3">
      <c r="A10" s="55">
        <v>300</v>
      </c>
      <c r="B10" s="57">
        <v>2.4</v>
      </c>
      <c r="C10" s="55">
        <v>360</v>
      </c>
      <c r="D10" s="55">
        <v>1.4</v>
      </c>
      <c r="E10" s="57">
        <v>0.73</v>
      </c>
      <c r="F10" s="55">
        <v>51</v>
      </c>
      <c r="G10" s="55">
        <v>127.07</v>
      </c>
      <c r="H10" s="55">
        <v>37.764000000000003</v>
      </c>
      <c r="I10" s="55">
        <v>3.1829000000000002E-3</v>
      </c>
      <c r="J10" s="55">
        <v>250</v>
      </c>
      <c r="K10" s="57">
        <v>27.548999999999999</v>
      </c>
      <c r="L10" s="53">
        <v>24.584</v>
      </c>
      <c r="M10" s="60">
        <f t="shared" si="0"/>
        <v>2.9649999999999999</v>
      </c>
      <c r="N10" s="54">
        <f t="shared" si="2"/>
        <v>0</v>
      </c>
      <c r="P10" s="6" t="s">
        <v>25</v>
      </c>
      <c r="Q10">
        <v>185</v>
      </c>
      <c r="R10" s="6">
        <v>32</v>
      </c>
      <c r="S10">
        <v>253.2</v>
      </c>
      <c r="T10" s="6">
        <v>98.467789189189176</v>
      </c>
      <c r="U10">
        <v>86</v>
      </c>
      <c r="V10" s="6">
        <v>0</v>
      </c>
      <c r="W10">
        <v>0</v>
      </c>
      <c r="X10" s="6">
        <v>185</v>
      </c>
      <c r="Z10" s="6"/>
      <c r="AB10" s="8">
        <v>46.570083612647863</v>
      </c>
      <c r="AD10" s="55">
        <f t="shared" si="3"/>
        <v>0.22413793103448276</v>
      </c>
      <c r="AE10" s="57">
        <f t="shared" si="4"/>
        <v>9.8765432098765427E-2</v>
      </c>
      <c r="AF10" s="55">
        <f t="shared" si="5"/>
        <v>0.78091106290672452</v>
      </c>
      <c r="AG10" s="55">
        <f t="shared" si="6"/>
        <v>9.3023255813953487E-2</v>
      </c>
      <c r="AH10" s="57">
        <f t="shared" si="7"/>
        <v>0.17537313432835822</v>
      </c>
      <c r="AI10" s="55">
        <f t="shared" si="8"/>
        <v>0.50098231827111983</v>
      </c>
      <c r="AJ10" s="55">
        <f t="shared" si="9"/>
        <v>0.42979204339963833</v>
      </c>
      <c r="AK10" s="55">
        <f t="shared" si="10"/>
        <v>0.47940000000000005</v>
      </c>
      <c r="AL10" s="55">
        <f t="shared" si="11"/>
        <v>0.31053428873713579</v>
      </c>
      <c r="AM10" s="55">
        <f t="shared" si="12"/>
        <v>0.625</v>
      </c>
      <c r="AN10" s="57">
        <f t="shared" si="13"/>
        <v>6.342557552005032E-2</v>
      </c>
      <c r="AO10" s="53">
        <f t="shared" si="14"/>
        <v>0.19914207721305083</v>
      </c>
      <c r="AP10" s="57">
        <f t="shared" si="15"/>
        <v>6.8091371259000255E-3</v>
      </c>
      <c r="AQ10" s="54">
        <f t="shared" si="1"/>
        <v>0</v>
      </c>
      <c r="AS10" s="61">
        <f t="shared" si="16"/>
        <v>24.584</v>
      </c>
      <c r="AT10" s="61" t="str">
        <f t="shared" si="17"/>
        <v/>
      </c>
    </row>
    <row r="11" spans="1:46" x14ac:dyDescent="0.3">
      <c r="A11" s="55">
        <v>250</v>
      </c>
      <c r="B11" s="57">
        <v>2.4</v>
      </c>
      <c r="C11" s="55">
        <v>315</v>
      </c>
      <c r="D11" s="55">
        <v>1.5</v>
      </c>
      <c r="E11" s="57">
        <v>0.73</v>
      </c>
      <c r="F11" s="55">
        <v>50</v>
      </c>
      <c r="G11" s="55">
        <v>149.91</v>
      </c>
      <c r="H11" s="55">
        <v>39.582000000000001</v>
      </c>
      <c r="I11" s="55">
        <v>2.7633000000000002E-3</v>
      </c>
      <c r="J11" s="55">
        <v>215</v>
      </c>
      <c r="K11" s="57">
        <v>29.661000000000001</v>
      </c>
      <c r="L11" s="53">
        <v>18.629000000000001</v>
      </c>
      <c r="M11" s="60">
        <f t="shared" si="0"/>
        <v>11.032</v>
      </c>
      <c r="N11" s="54">
        <f t="shared" si="2"/>
        <v>0</v>
      </c>
      <c r="P11" s="6" t="s">
        <v>26</v>
      </c>
      <c r="Q11">
        <v>185</v>
      </c>
      <c r="R11" s="6">
        <v>9</v>
      </c>
      <c r="S11">
        <v>69</v>
      </c>
      <c r="T11" s="6">
        <v>24.053427027027027</v>
      </c>
      <c r="U11">
        <v>17</v>
      </c>
      <c r="V11" s="6">
        <v>0</v>
      </c>
      <c r="W11">
        <v>4</v>
      </c>
      <c r="X11" s="6">
        <v>185</v>
      </c>
      <c r="Z11" s="6"/>
      <c r="AB11" s="8">
        <v>14.322930414515328</v>
      </c>
      <c r="AD11" s="55">
        <f t="shared" si="3"/>
        <v>0.13793103448275862</v>
      </c>
      <c r="AE11" s="57">
        <f t="shared" si="4"/>
        <v>9.8765432098765427E-2</v>
      </c>
      <c r="AF11" s="55">
        <f t="shared" si="5"/>
        <v>0.68329718004338391</v>
      </c>
      <c r="AG11" s="55">
        <f t="shared" si="6"/>
        <v>0.10077519379844961</v>
      </c>
      <c r="AH11" s="57">
        <f t="shared" si="7"/>
        <v>0.17537313432835822</v>
      </c>
      <c r="AI11" s="55">
        <f t="shared" si="8"/>
        <v>0.49115913555992141</v>
      </c>
      <c r="AJ11" s="55">
        <f t="shared" si="9"/>
        <v>0.53304701627486439</v>
      </c>
      <c r="AK11" s="55">
        <f t="shared" si="10"/>
        <v>0.50970000000000004</v>
      </c>
      <c r="AL11" s="55">
        <f t="shared" si="11"/>
        <v>0.26008704433971341</v>
      </c>
      <c r="AM11" s="55">
        <f t="shared" si="12"/>
        <v>0.53749999999999998</v>
      </c>
      <c r="AN11" s="57">
        <f t="shared" si="13"/>
        <v>7.0724769912941909E-2</v>
      </c>
      <c r="AO11" s="53">
        <f t="shared" si="14"/>
        <v>0.15076205641492268</v>
      </c>
      <c r="AP11" s="57">
        <f t="shared" si="15"/>
        <v>3.7737802212969573E-2</v>
      </c>
      <c r="AQ11" s="54">
        <f t="shared" si="1"/>
        <v>0</v>
      </c>
      <c r="AS11" s="61">
        <f t="shared" si="16"/>
        <v>18.629000000000001</v>
      </c>
      <c r="AT11" s="61" t="str">
        <f t="shared" si="17"/>
        <v/>
      </c>
    </row>
    <row r="12" spans="1:46" x14ac:dyDescent="0.3">
      <c r="A12" s="55">
        <v>715</v>
      </c>
      <c r="B12" s="57">
        <v>2.2000000000000002</v>
      </c>
      <c r="C12" s="55">
        <v>345</v>
      </c>
      <c r="D12" s="55">
        <v>1.8</v>
      </c>
      <c r="E12" s="57">
        <v>0.73</v>
      </c>
      <c r="F12" s="55">
        <v>50</v>
      </c>
      <c r="G12" s="55">
        <v>89.617000000000004</v>
      </c>
      <c r="H12" s="55">
        <v>47.92</v>
      </c>
      <c r="I12" s="55">
        <v>4.4275E-3</v>
      </c>
      <c r="J12" s="55">
        <v>280</v>
      </c>
      <c r="K12" s="57">
        <v>66.453000000000003</v>
      </c>
      <c r="L12" s="53">
        <v>48.682000000000002</v>
      </c>
      <c r="M12" s="60">
        <f t="shared" si="0"/>
        <v>17.771000000000001</v>
      </c>
      <c r="N12" s="54">
        <f t="shared" si="2"/>
        <v>1</v>
      </c>
      <c r="P12" s="6" t="s">
        <v>31</v>
      </c>
      <c r="Q12">
        <v>185</v>
      </c>
      <c r="R12" s="6">
        <v>5.9999999999999995E-4</v>
      </c>
      <c r="S12">
        <v>8.9175999999999995E-3</v>
      </c>
      <c r="T12" s="6">
        <v>2.9039785198245525E-3</v>
      </c>
      <c r="U12">
        <v>2.7000000000000001E-3</v>
      </c>
      <c r="V12" s="6">
        <v>0</v>
      </c>
      <c r="W12">
        <v>4</v>
      </c>
      <c r="X12" s="6">
        <v>185</v>
      </c>
      <c r="Z12" s="6"/>
      <c r="AB12" s="8">
        <v>1.1401008672949364E-3</v>
      </c>
      <c r="AD12" s="55">
        <f t="shared" si="3"/>
        <v>0.93965517241379315</v>
      </c>
      <c r="AE12" s="57">
        <f t="shared" si="4"/>
        <v>8.6419753086419762E-2</v>
      </c>
      <c r="AF12" s="55">
        <f t="shared" si="5"/>
        <v>0.74837310195227769</v>
      </c>
      <c r="AG12" s="55">
        <f t="shared" si="6"/>
        <v>0.12403100775193798</v>
      </c>
      <c r="AH12" s="57">
        <f t="shared" si="7"/>
        <v>0.17537313432835822</v>
      </c>
      <c r="AI12" s="55">
        <f t="shared" si="8"/>
        <v>0.49115913555992141</v>
      </c>
      <c r="AJ12" s="55">
        <f t="shared" si="9"/>
        <v>0.26047468354430381</v>
      </c>
      <c r="AK12" s="55">
        <f t="shared" si="10"/>
        <v>0.64866666666666672</v>
      </c>
      <c r="AL12" s="55">
        <f t="shared" si="11"/>
        <v>0.46016879869193039</v>
      </c>
      <c r="AM12" s="55">
        <f t="shared" si="12"/>
        <v>0.7</v>
      </c>
      <c r="AN12" s="57">
        <f t="shared" si="13"/>
        <v>0.19788005405274636</v>
      </c>
      <c r="AO12" s="53">
        <f t="shared" si="14"/>
        <v>0.39492070713635774</v>
      </c>
      <c r="AP12" s="57">
        <f t="shared" si="15"/>
        <v>6.3574950350041806E-2</v>
      </c>
      <c r="AQ12" s="54">
        <f t="shared" si="1"/>
        <v>1</v>
      </c>
      <c r="AS12" s="61" t="str">
        <f t="shared" si="16"/>
        <v/>
      </c>
      <c r="AT12" s="61">
        <f t="shared" si="17"/>
        <v>48.682000000000002</v>
      </c>
    </row>
    <row r="13" spans="1:46" x14ac:dyDescent="0.3">
      <c r="A13" s="55">
        <v>700</v>
      </c>
      <c r="B13" s="57">
        <v>3.7</v>
      </c>
      <c r="C13" s="55">
        <v>310</v>
      </c>
      <c r="D13" s="55">
        <v>1.8</v>
      </c>
      <c r="E13" s="57">
        <v>0.62</v>
      </c>
      <c r="F13" s="55">
        <v>55.5</v>
      </c>
      <c r="G13" s="55">
        <v>103.2</v>
      </c>
      <c r="H13" s="55">
        <v>54.6</v>
      </c>
      <c r="I13" s="55">
        <v>3.3E-3</v>
      </c>
      <c r="J13" s="55">
        <v>210</v>
      </c>
      <c r="K13" s="57">
        <v>36.253999999999998</v>
      </c>
      <c r="L13" s="53">
        <v>27.335999999999999</v>
      </c>
      <c r="M13" s="60">
        <f t="shared" si="0"/>
        <v>8.9179999999999993</v>
      </c>
      <c r="N13" s="54">
        <f t="shared" si="2"/>
        <v>0</v>
      </c>
      <c r="P13" s="6" t="s">
        <v>27</v>
      </c>
      <c r="Q13">
        <v>185</v>
      </c>
      <c r="R13" s="6">
        <v>0</v>
      </c>
      <c r="S13">
        <v>230</v>
      </c>
      <c r="T13" s="6">
        <v>79.459459459459453</v>
      </c>
      <c r="U13">
        <v>75</v>
      </c>
      <c r="V13" s="6">
        <v>0</v>
      </c>
      <c r="W13">
        <v>15</v>
      </c>
      <c r="X13" s="6">
        <v>185</v>
      </c>
      <c r="Z13" s="6"/>
      <c r="AB13" s="8">
        <v>30.845684105999304</v>
      </c>
      <c r="AD13" s="55">
        <f t="shared" si="3"/>
        <v>0.91379310344827591</v>
      </c>
      <c r="AE13" s="57">
        <f t="shared" si="4"/>
        <v>0.17901234567901236</v>
      </c>
      <c r="AF13" s="55">
        <f t="shared" si="5"/>
        <v>0.67245119305856837</v>
      </c>
      <c r="AG13" s="55">
        <f t="shared" si="6"/>
        <v>0.12403100775193798</v>
      </c>
      <c r="AH13" s="57">
        <f t="shared" si="7"/>
        <v>0.13432835820895522</v>
      </c>
      <c r="AI13" s="55">
        <f t="shared" si="8"/>
        <v>0.54518664047151277</v>
      </c>
      <c r="AJ13" s="55">
        <f t="shared" si="9"/>
        <v>0.32188065099457508</v>
      </c>
      <c r="AK13" s="55">
        <f t="shared" si="10"/>
        <v>0.76</v>
      </c>
      <c r="AL13" s="55">
        <f t="shared" si="11"/>
        <v>0.32461286909685488</v>
      </c>
      <c r="AM13" s="55">
        <f t="shared" si="12"/>
        <v>0.52500000000000002</v>
      </c>
      <c r="AN13" s="57">
        <f t="shared" si="13"/>
        <v>9.3510559985069824E-2</v>
      </c>
      <c r="AO13" s="53">
        <f t="shared" si="14"/>
        <v>0.22150006499415054</v>
      </c>
      <c r="AP13" s="57">
        <f t="shared" si="15"/>
        <v>2.9632782007928658E-2</v>
      </c>
      <c r="AQ13" s="54">
        <f t="shared" si="1"/>
        <v>0</v>
      </c>
      <c r="AS13" s="61">
        <f t="shared" si="16"/>
        <v>27.335999999999999</v>
      </c>
      <c r="AT13" s="61" t="str">
        <f t="shared" si="17"/>
        <v/>
      </c>
    </row>
    <row r="14" spans="1:46" x14ac:dyDescent="0.3">
      <c r="A14" s="55">
        <v>640</v>
      </c>
      <c r="B14" s="57">
        <v>1.5</v>
      </c>
      <c r="C14" s="55">
        <v>315</v>
      </c>
      <c r="D14" s="55">
        <v>1.8</v>
      </c>
      <c r="E14" s="57">
        <v>0.73</v>
      </c>
      <c r="F14" s="55">
        <v>50</v>
      </c>
      <c r="G14" s="55">
        <v>153.08000000000001</v>
      </c>
      <c r="H14" s="55">
        <v>33.192999999999998</v>
      </c>
      <c r="I14" s="55">
        <v>3.4043999999999997E-3</v>
      </c>
      <c r="J14" s="55">
        <v>250</v>
      </c>
      <c r="K14" s="57">
        <v>69.412999999999997</v>
      </c>
      <c r="L14" s="53">
        <v>51.42</v>
      </c>
      <c r="M14" s="60">
        <f t="shared" si="0"/>
        <v>17.992999999999995</v>
      </c>
      <c r="N14" s="54">
        <f t="shared" si="2"/>
        <v>1</v>
      </c>
      <c r="P14" s="6" t="s">
        <v>28</v>
      </c>
      <c r="Q14">
        <v>185</v>
      </c>
      <c r="R14" s="6">
        <v>0</v>
      </c>
      <c r="S14">
        <v>400</v>
      </c>
      <c r="T14" s="6">
        <v>149.72432432432433</v>
      </c>
      <c r="U14">
        <v>99</v>
      </c>
      <c r="V14" s="6">
        <v>0</v>
      </c>
      <c r="W14">
        <v>0</v>
      </c>
      <c r="X14" s="6">
        <v>185</v>
      </c>
      <c r="Z14" s="6"/>
      <c r="AB14" s="8">
        <v>109.81558010306416</v>
      </c>
      <c r="AD14" s="55">
        <f t="shared" si="3"/>
        <v>0.81034482758620685</v>
      </c>
      <c r="AE14" s="57">
        <f t="shared" si="4"/>
        <v>4.3209876543209874E-2</v>
      </c>
      <c r="AF14" s="55">
        <f t="shared" si="5"/>
        <v>0.68329718004338391</v>
      </c>
      <c r="AG14" s="55">
        <f t="shared" si="6"/>
        <v>0.12403100775193798</v>
      </c>
      <c r="AH14" s="57">
        <f t="shared" si="7"/>
        <v>0.17537313432835822</v>
      </c>
      <c r="AI14" s="55">
        <f t="shared" si="8"/>
        <v>0.49115913555992141</v>
      </c>
      <c r="AJ14" s="55">
        <f t="shared" si="9"/>
        <v>0.54737793851717909</v>
      </c>
      <c r="AK14" s="55">
        <f t="shared" si="10"/>
        <v>0.40321666666666661</v>
      </c>
      <c r="AL14" s="55">
        <f t="shared" si="11"/>
        <v>0.33716456670193323</v>
      </c>
      <c r="AM14" s="55">
        <f t="shared" si="12"/>
        <v>0.625</v>
      </c>
      <c r="AN14" s="57">
        <f t="shared" si="13"/>
        <v>0.20810998558823834</v>
      </c>
      <c r="AO14" s="53">
        <f t="shared" si="14"/>
        <v>0.41716495515403618</v>
      </c>
      <c r="AP14" s="57">
        <f t="shared" si="15"/>
        <v>6.4426092490779283E-2</v>
      </c>
      <c r="AQ14" s="54">
        <f t="shared" si="1"/>
        <v>1</v>
      </c>
      <c r="AS14" s="61" t="str">
        <f t="shared" si="16"/>
        <v/>
      </c>
      <c r="AT14" s="61">
        <f t="shared" si="17"/>
        <v>51.42</v>
      </c>
    </row>
    <row r="15" spans="1:46" x14ac:dyDescent="0.3">
      <c r="A15" s="55">
        <v>750</v>
      </c>
      <c r="B15" s="57">
        <v>1</v>
      </c>
      <c r="C15" s="55">
        <v>315</v>
      </c>
      <c r="D15" s="55">
        <v>2.7</v>
      </c>
      <c r="E15" s="57">
        <v>0.73</v>
      </c>
      <c r="F15" s="55">
        <v>50</v>
      </c>
      <c r="G15" s="55">
        <v>142.43</v>
      </c>
      <c r="H15" s="55">
        <v>30.123999999999999</v>
      </c>
      <c r="I15" s="55">
        <v>4.5926999999999999E-3</v>
      </c>
      <c r="J15" s="55">
        <v>250</v>
      </c>
      <c r="K15" s="57">
        <v>52.228000000000002</v>
      </c>
      <c r="L15" s="53">
        <v>30.466999999999999</v>
      </c>
      <c r="M15" s="60">
        <f t="shared" si="0"/>
        <v>21.761000000000003</v>
      </c>
      <c r="N15" s="54">
        <f t="shared" si="2"/>
        <v>0</v>
      </c>
      <c r="P15" s="6" t="s">
        <v>29</v>
      </c>
      <c r="Q15">
        <v>185</v>
      </c>
      <c r="R15" s="6">
        <v>9.1969999999999992</v>
      </c>
      <c r="S15">
        <v>298.54399999999998</v>
      </c>
      <c r="T15" s="6">
        <v>74.163383783783743</v>
      </c>
      <c r="U15">
        <v>65.114000000000004</v>
      </c>
      <c r="V15" s="6">
        <v>0</v>
      </c>
      <c r="W15">
        <v>5</v>
      </c>
      <c r="X15" s="6">
        <v>185</v>
      </c>
      <c r="Z15" s="6"/>
      <c r="AB15" s="8">
        <v>49.599738460574066</v>
      </c>
      <c r="AD15" s="55">
        <f t="shared" si="3"/>
        <v>1</v>
      </c>
      <c r="AE15" s="57">
        <f t="shared" si="4"/>
        <v>1.2345679012345677E-2</v>
      </c>
      <c r="AF15" s="55">
        <f t="shared" si="5"/>
        <v>0.68329718004338391</v>
      </c>
      <c r="AG15" s="55">
        <f t="shared" si="6"/>
        <v>0.19379844961240308</v>
      </c>
      <c r="AH15" s="57">
        <f t="shared" si="7"/>
        <v>0.17537313432835822</v>
      </c>
      <c r="AI15" s="55">
        <f t="shared" si="8"/>
        <v>0.49115913555992141</v>
      </c>
      <c r="AJ15" s="55">
        <f t="shared" si="9"/>
        <v>0.4992314647377939</v>
      </c>
      <c r="AK15" s="55">
        <f t="shared" si="10"/>
        <v>0.35206666666666664</v>
      </c>
      <c r="AL15" s="55">
        <f t="shared" si="11"/>
        <v>0.48003029720111573</v>
      </c>
      <c r="AM15" s="55">
        <f t="shared" si="12"/>
        <v>0.625</v>
      </c>
      <c r="AN15" s="57">
        <f t="shared" si="13"/>
        <v>0.1487176296972148</v>
      </c>
      <c r="AO15" s="53">
        <f t="shared" si="14"/>
        <v>0.24693715065644092</v>
      </c>
      <c r="AP15" s="57">
        <f t="shared" si="15"/>
        <v>7.8872505041675312E-2</v>
      </c>
      <c r="AQ15" s="54">
        <f t="shared" si="1"/>
        <v>0</v>
      </c>
      <c r="AS15" s="61">
        <f t="shared" si="16"/>
        <v>30.466999999999999</v>
      </c>
      <c r="AT15" s="61" t="str">
        <f t="shared" si="17"/>
        <v/>
      </c>
    </row>
    <row r="16" spans="1:46" x14ac:dyDescent="0.3">
      <c r="A16" s="55">
        <v>375</v>
      </c>
      <c r="B16" s="57">
        <v>2</v>
      </c>
      <c r="C16" s="55">
        <v>285</v>
      </c>
      <c r="D16" s="55">
        <v>1.8</v>
      </c>
      <c r="E16" s="57">
        <v>0.73</v>
      </c>
      <c r="F16" s="55">
        <v>60.8</v>
      </c>
      <c r="G16" s="55">
        <v>132.1</v>
      </c>
      <c r="H16" s="55">
        <v>47.64</v>
      </c>
      <c r="I16" s="55">
        <v>3.13E-3</v>
      </c>
      <c r="J16" s="55">
        <v>225</v>
      </c>
      <c r="K16" s="57">
        <v>92.622</v>
      </c>
      <c r="L16" s="53">
        <v>51.21</v>
      </c>
      <c r="M16" s="60">
        <f t="shared" si="0"/>
        <v>41.411999999999999</v>
      </c>
      <c r="N16" s="54">
        <f t="shared" si="2"/>
        <v>1</v>
      </c>
      <c r="P16" s="6" t="s">
        <v>30</v>
      </c>
      <c r="Q16">
        <v>185</v>
      </c>
      <c r="R16" s="6">
        <v>7.1999999999999995E-2</v>
      </c>
      <c r="S16">
        <v>123.16</v>
      </c>
      <c r="T16" s="6">
        <v>35.123859459459467</v>
      </c>
      <c r="U16">
        <v>27.88</v>
      </c>
      <c r="V16" s="6">
        <v>0</v>
      </c>
      <c r="W16">
        <v>5</v>
      </c>
      <c r="X16" s="6">
        <v>185</v>
      </c>
      <c r="Z16" s="6"/>
      <c r="AB16" s="8">
        <v>26.000349364954815</v>
      </c>
      <c r="AD16" s="55">
        <f t="shared" si="3"/>
        <v>0.35344827586206895</v>
      </c>
      <c r="AE16" s="57">
        <f t="shared" si="4"/>
        <v>7.407407407407407E-2</v>
      </c>
      <c r="AF16" s="55">
        <f t="shared" si="5"/>
        <v>0.61822125813449025</v>
      </c>
      <c r="AG16" s="55">
        <f t="shared" si="6"/>
        <v>0.12403100775193798</v>
      </c>
      <c r="AH16" s="57">
        <f t="shared" si="7"/>
        <v>0.17537313432835822</v>
      </c>
      <c r="AI16" s="55">
        <f t="shared" si="8"/>
        <v>0.59724950884086447</v>
      </c>
      <c r="AJ16" s="55">
        <f t="shared" si="9"/>
        <v>0.45253164556962028</v>
      </c>
      <c r="AK16" s="55">
        <f t="shared" si="10"/>
        <v>0.64400000000000002</v>
      </c>
      <c r="AL16" s="55">
        <f t="shared" si="11"/>
        <v>0.30417428104260846</v>
      </c>
      <c r="AM16" s="55">
        <f t="shared" si="12"/>
        <v>0.5625</v>
      </c>
      <c r="AN16" s="57">
        <f t="shared" si="13"/>
        <v>0.28832163457716858</v>
      </c>
      <c r="AO16" s="53">
        <f t="shared" si="14"/>
        <v>0.41545885870271676</v>
      </c>
      <c r="AP16" s="57">
        <f t="shared" si="15"/>
        <v>0.15421392039137205</v>
      </c>
      <c r="AQ16" s="54">
        <f t="shared" si="1"/>
        <v>1</v>
      </c>
      <c r="AS16" s="61" t="str">
        <f t="shared" si="16"/>
        <v/>
      </c>
      <c r="AT16" s="61">
        <f t="shared" si="17"/>
        <v>51.21</v>
      </c>
    </row>
    <row r="17" spans="1:46" x14ac:dyDescent="0.3">
      <c r="A17" s="55">
        <v>670</v>
      </c>
      <c r="B17" s="57">
        <v>1.4</v>
      </c>
      <c r="C17" s="55">
        <v>320</v>
      </c>
      <c r="D17" s="55">
        <v>1.5</v>
      </c>
      <c r="E17" s="57">
        <v>0.73</v>
      </c>
      <c r="F17" s="55">
        <v>50</v>
      </c>
      <c r="G17" s="55">
        <v>123.93</v>
      </c>
      <c r="H17" s="55">
        <v>42.43</v>
      </c>
      <c r="I17" s="55">
        <v>3.2503000000000002E-3</v>
      </c>
      <c r="J17" s="55">
        <v>255</v>
      </c>
      <c r="K17" s="57">
        <v>41.735999999999997</v>
      </c>
      <c r="L17" s="53">
        <v>34.356999999999999</v>
      </c>
      <c r="M17" s="60">
        <f t="shared" si="0"/>
        <v>7.3789999999999978</v>
      </c>
      <c r="N17" s="54">
        <f t="shared" si="2"/>
        <v>0</v>
      </c>
      <c r="P17" s="6" t="s">
        <v>82</v>
      </c>
      <c r="Q17">
        <v>185</v>
      </c>
      <c r="R17" s="6">
        <v>1.1890000000000001</v>
      </c>
      <c r="S17">
        <v>262.01499999999999</v>
      </c>
      <c r="T17" s="6">
        <v>20.756</v>
      </c>
      <c r="U17">
        <v>8.3249999999999957</v>
      </c>
      <c r="V17" s="6">
        <v>0</v>
      </c>
      <c r="W17">
        <v>5</v>
      </c>
      <c r="X17" s="6">
        <v>185</v>
      </c>
      <c r="Z17" s="6"/>
      <c r="AB17" s="8">
        <v>45.576830411509064</v>
      </c>
      <c r="AD17" s="55">
        <f t="shared" si="3"/>
        <v>0.86206896551724133</v>
      </c>
      <c r="AE17" s="57">
        <f t="shared" si="4"/>
        <v>3.7037037037037028E-2</v>
      </c>
      <c r="AF17" s="55">
        <f t="shared" si="5"/>
        <v>0.69414316702819956</v>
      </c>
      <c r="AG17" s="55">
        <f t="shared" si="6"/>
        <v>0.10077519379844961</v>
      </c>
      <c r="AH17" s="57">
        <f t="shared" si="7"/>
        <v>0.17537313432835822</v>
      </c>
      <c r="AI17" s="55">
        <f t="shared" si="8"/>
        <v>0.49115913555992141</v>
      </c>
      <c r="AJ17" s="55">
        <f t="shared" si="9"/>
        <v>0.41559674502712485</v>
      </c>
      <c r="AK17" s="55">
        <f t="shared" si="10"/>
        <v>0.5571666666666667</v>
      </c>
      <c r="AL17" s="55">
        <f t="shared" si="11"/>
        <v>0.31863758776570172</v>
      </c>
      <c r="AM17" s="55">
        <f t="shared" si="12"/>
        <v>0.63749999999999996</v>
      </c>
      <c r="AN17" s="57">
        <f t="shared" si="13"/>
        <v>0.11245666967343709</v>
      </c>
      <c r="AO17" s="53">
        <f t="shared" si="14"/>
        <v>0.27854055634992847</v>
      </c>
      <c r="AP17" s="57">
        <f t="shared" si="15"/>
        <v>2.3732296626870014E-2</v>
      </c>
      <c r="AQ17" s="54">
        <f t="shared" si="1"/>
        <v>0</v>
      </c>
      <c r="AS17" s="61">
        <f t="shared" si="16"/>
        <v>34.356999999999999</v>
      </c>
      <c r="AT17" s="61" t="str">
        <f t="shared" si="17"/>
        <v/>
      </c>
    </row>
    <row r="18" spans="1:46" x14ac:dyDescent="0.3">
      <c r="A18" s="55">
        <v>470</v>
      </c>
      <c r="B18" s="57">
        <v>3.2</v>
      </c>
      <c r="C18" s="55">
        <v>320</v>
      </c>
      <c r="D18" s="55">
        <v>1.5</v>
      </c>
      <c r="E18" s="57">
        <v>0.78</v>
      </c>
      <c r="F18" s="55">
        <v>50</v>
      </c>
      <c r="G18" s="55">
        <v>125.3</v>
      </c>
      <c r="H18" s="55">
        <v>37.700000000000003</v>
      </c>
      <c r="I18" s="55">
        <v>3.4306000000000002E-3</v>
      </c>
      <c r="J18" s="55">
        <v>255</v>
      </c>
      <c r="K18" s="57">
        <v>62.072000000000003</v>
      </c>
      <c r="L18" s="53">
        <v>56.356999999999999</v>
      </c>
      <c r="M18" s="60">
        <f t="shared" si="0"/>
        <v>5.7150000000000034</v>
      </c>
      <c r="N18" s="54">
        <f t="shared" si="2"/>
        <v>1</v>
      </c>
      <c r="P18" s="6"/>
      <c r="R18" s="6"/>
      <c r="T18" s="6"/>
      <c r="V18" s="6"/>
      <c r="X18" s="6"/>
      <c r="Z18" s="6"/>
      <c r="AB18" s="8"/>
      <c r="AD18" s="55">
        <f t="shared" si="3"/>
        <v>0.51724137931034486</v>
      </c>
      <c r="AE18" s="57">
        <f t="shared" si="4"/>
        <v>0.14814814814814817</v>
      </c>
      <c r="AF18" s="55">
        <f t="shared" si="5"/>
        <v>0.69414316702819956</v>
      </c>
      <c r="AG18" s="55">
        <f t="shared" si="6"/>
        <v>0.10077519379844961</v>
      </c>
      <c r="AH18" s="57">
        <f t="shared" si="7"/>
        <v>0.19402985074626869</v>
      </c>
      <c r="AI18" s="55">
        <f t="shared" si="8"/>
        <v>0.49115913555992141</v>
      </c>
      <c r="AJ18" s="55">
        <f t="shared" si="9"/>
        <v>0.42179023508137431</v>
      </c>
      <c r="AK18" s="55">
        <f t="shared" si="10"/>
        <v>0.47833333333333339</v>
      </c>
      <c r="AL18" s="55">
        <f t="shared" si="11"/>
        <v>0.34031451380205835</v>
      </c>
      <c r="AM18" s="55">
        <f t="shared" si="12"/>
        <v>0.63749999999999996</v>
      </c>
      <c r="AN18" s="57">
        <f t="shared" si="13"/>
        <v>0.18273906416862798</v>
      </c>
      <c r="AO18" s="53">
        <f t="shared" si="14"/>
        <v>0.45727447029767321</v>
      </c>
      <c r="AP18" s="57">
        <f t="shared" si="15"/>
        <v>1.7352564544945687E-2</v>
      </c>
      <c r="AQ18" s="54">
        <f t="shared" si="1"/>
        <v>1</v>
      </c>
      <c r="AS18" s="61" t="str">
        <f t="shared" si="16"/>
        <v/>
      </c>
      <c r="AT18" s="61">
        <f t="shared" si="17"/>
        <v>56.356999999999999</v>
      </c>
    </row>
    <row r="19" spans="1:46" x14ac:dyDescent="0.3">
      <c r="A19" s="55">
        <v>690</v>
      </c>
      <c r="B19" s="57">
        <v>4</v>
      </c>
      <c r="C19" s="55">
        <v>320</v>
      </c>
      <c r="D19" s="55">
        <v>1.5</v>
      </c>
      <c r="E19" s="57">
        <v>0.83899999999999997</v>
      </c>
      <c r="F19" s="55">
        <v>50</v>
      </c>
      <c r="G19" s="55">
        <v>172.49</v>
      </c>
      <c r="H19" s="55">
        <v>33.149000000000001</v>
      </c>
      <c r="I19" s="55">
        <v>3.1316999999999998E-3</v>
      </c>
      <c r="J19" s="55">
        <v>255</v>
      </c>
      <c r="K19" s="57">
        <v>52.201999999999998</v>
      </c>
      <c r="L19" s="53">
        <v>46.783999999999999</v>
      </c>
      <c r="M19" s="60">
        <f t="shared" si="0"/>
        <v>5.4179999999999993</v>
      </c>
      <c r="N19" s="54">
        <f t="shared" si="2"/>
        <v>1</v>
      </c>
      <c r="P19" s="6"/>
      <c r="R19" s="6"/>
      <c r="T19" s="6"/>
      <c r="V19" s="6"/>
      <c r="X19" s="6"/>
      <c r="Z19" s="6"/>
      <c r="AB19" s="8"/>
      <c r="AD19" s="55">
        <f t="shared" si="3"/>
        <v>0.89655172413793105</v>
      </c>
      <c r="AE19" s="57">
        <f t="shared" si="4"/>
        <v>0.19753086419753088</v>
      </c>
      <c r="AF19" s="55">
        <f t="shared" si="5"/>
        <v>0.69414316702819956</v>
      </c>
      <c r="AG19" s="55">
        <f t="shared" si="6"/>
        <v>0.10077519379844961</v>
      </c>
      <c r="AH19" s="57">
        <f t="shared" si="7"/>
        <v>0.21604477611940298</v>
      </c>
      <c r="AI19" s="55">
        <f t="shared" si="8"/>
        <v>0.49115913555992141</v>
      </c>
      <c r="AJ19" s="55">
        <f t="shared" si="9"/>
        <v>0.63512658227848107</v>
      </c>
      <c r="AK19" s="55">
        <f t="shared" si="10"/>
        <v>0.40248333333333336</v>
      </c>
      <c r="AL19" s="55">
        <f t="shared" si="11"/>
        <v>0.30437866692315091</v>
      </c>
      <c r="AM19" s="55">
        <f t="shared" si="12"/>
        <v>0.63749999999999996</v>
      </c>
      <c r="AN19" s="57">
        <f t="shared" si="13"/>
        <v>0.14862777219048409</v>
      </c>
      <c r="AO19" s="53">
        <f t="shared" si="14"/>
        <v>0.37950084492395686</v>
      </c>
      <c r="AP19" s="57">
        <f t="shared" si="15"/>
        <v>1.621387438368874E-2</v>
      </c>
      <c r="AQ19" s="54">
        <f t="shared" si="1"/>
        <v>1</v>
      </c>
      <c r="AS19" s="61" t="str">
        <f t="shared" si="16"/>
        <v/>
      </c>
      <c r="AT19" s="61">
        <f t="shared" si="17"/>
        <v>46.783999999999999</v>
      </c>
    </row>
    <row r="20" spans="1:46" x14ac:dyDescent="0.3">
      <c r="A20" s="55">
        <v>380</v>
      </c>
      <c r="B20" s="57">
        <v>2.6</v>
      </c>
      <c r="C20" s="55">
        <v>260</v>
      </c>
      <c r="D20" s="55">
        <v>0.8</v>
      </c>
      <c r="E20" s="57">
        <v>0.73</v>
      </c>
      <c r="F20" s="55">
        <v>101.8</v>
      </c>
      <c r="G20" s="55">
        <v>253.2</v>
      </c>
      <c r="H20" s="55">
        <v>33.5</v>
      </c>
      <c r="I20" s="55">
        <v>5.0000000000000001E-3</v>
      </c>
      <c r="J20" s="55">
        <v>140</v>
      </c>
      <c r="K20" s="57">
        <v>63.645000000000003</v>
      </c>
      <c r="L20" s="53">
        <v>57.793999999999997</v>
      </c>
      <c r="M20" s="60">
        <f t="shared" si="0"/>
        <v>5.8510000000000062</v>
      </c>
      <c r="N20" s="54">
        <f t="shared" si="2"/>
        <v>1</v>
      </c>
      <c r="P20" s="6"/>
      <c r="Q20">
        <v>0</v>
      </c>
      <c r="R20" s="6">
        <f>T16</f>
        <v>35.123859459459467</v>
      </c>
      <c r="T20" s="6"/>
      <c r="V20" s="6"/>
      <c r="X20" s="6"/>
      <c r="Z20" s="6"/>
      <c r="AB20" s="8"/>
      <c r="AD20" s="55">
        <f t="shared" si="3"/>
        <v>0.36206896551724138</v>
      </c>
      <c r="AE20" s="57">
        <f t="shared" si="4"/>
        <v>0.11111111111111112</v>
      </c>
      <c r="AF20" s="55">
        <f t="shared" si="5"/>
        <v>0.56399132321041212</v>
      </c>
      <c r="AG20" s="55">
        <f t="shared" si="6"/>
        <v>4.651162790697675E-2</v>
      </c>
      <c r="AH20" s="57">
        <f t="shared" si="7"/>
        <v>0.17537313432835822</v>
      </c>
      <c r="AI20" s="55">
        <f t="shared" si="8"/>
        <v>1</v>
      </c>
      <c r="AJ20" s="55">
        <f t="shared" si="9"/>
        <v>1</v>
      </c>
      <c r="AK20" s="55">
        <f t="shared" si="10"/>
        <v>0.40833333333333333</v>
      </c>
      <c r="AL20" s="55">
        <f t="shared" si="11"/>
        <v>0.52899874963931914</v>
      </c>
      <c r="AM20" s="55">
        <f t="shared" si="12"/>
        <v>0.35</v>
      </c>
      <c r="AN20" s="57">
        <f t="shared" si="13"/>
        <v>0.18817544332583372</v>
      </c>
      <c r="AO20" s="53">
        <f t="shared" si="14"/>
        <v>0.46894904458598724</v>
      </c>
      <c r="AP20" s="57">
        <f t="shared" si="15"/>
        <v>1.7873984955487591E-2</v>
      </c>
      <c r="AQ20" s="54">
        <f t="shared" si="1"/>
        <v>1</v>
      </c>
      <c r="AS20" s="61" t="str">
        <f t="shared" si="16"/>
        <v/>
      </c>
      <c r="AT20" s="61">
        <f t="shared" si="17"/>
        <v>57.793999999999997</v>
      </c>
    </row>
    <row r="21" spans="1:46" x14ac:dyDescent="0.3">
      <c r="A21" s="55">
        <v>700</v>
      </c>
      <c r="B21" s="57">
        <v>3</v>
      </c>
      <c r="C21" s="55">
        <v>312</v>
      </c>
      <c r="D21" s="55">
        <v>2</v>
      </c>
      <c r="E21" s="57">
        <v>0.73</v>
      </c>
      <c r="F21" s="55">
        <v>50</v>
      </c>
      <c r="G21" s="55">
        <v>168.58</v>
      </c>
      <c r="H21" s="55">
        <v>32.664000000000001</v>
      </c>
      <c r="I21" s="55">
        <v>3.2743000000000004E-3</v>
      </c>
      <c r="J21" s="55">
        <v>247</v>
      </c>
      <c r="K21" s="57">
        <v>91.807000000000002</v>
      </c>
      <c r="L21" s="53">
        <v>68.287999999999997</v>
      </c>
      <c r="M21" s="60">
        <f t="shared" si="0"/>
        <v>23.519000000000005</v>
      </c>
      <c r="N21" s="54">
        <f t="shared" si="2"/>
        <v>1</v>
      </c>
      <c r="P21" s="6"/>
      <c r="Q21">
        <v>200</v>
      </c>
      <c r="R21" s="6">
        <f>T16</f>
        <v>35.123859459459467</v>
      </c>
      <c r="T21" s="6"/>
      <c r="V21" s="6"/>
      <c r="X21" s="6"/>
      <c r="Z21" s="6"/>
      <c r="AB21" s="8"/>
      <c r="AD21" s="55">
        <f t="shared" si="3"/>
        <v>0.91379310344827591</v>
      </c>
      <c r="AE21" s="57">
        <f t="shared" si="4"/>
        <v>0.13580246913580249</v>
      </c>
      <c r="AF21" s="55">
        <f t="shared" si="5"/>
        <v>0.67678958785249455</v>
      </c>
      <c r="AG21" s="55">
        <f t="shared" si="6"/>
        <v>0.13953488372093023</v>
      </c>
      <c r="AH21" s="57">
        <f t="shared" si="7"/>
        <v>0.17537313432835822</v>
      </c>
      <c r="AI21" s="55">
        <f t="shared" si="8"/>
        <v>0.49115913555992141</v>
      </c>
      <c r="AJ21" s="55">
        <f t="shared" si="9"/>
        <v>0.61745027124773966</v>
      </c>
      <c r="AK21" s="55">
        <f t="shared" si="10"/>
        <v>0.39440000000000003</v>
      </c>
      <c r="AL21" s="55">
        <f t="shared" si="11"/>
        <v>0.32152303549100708</v>
      </c>
      <c r="AM21" s="55">
        <f t="shared" si="12"/>
        <v>0.61750000000000005</v>
      </c>
      <c r="AN21" s="57">
        <f t="shared" si="13"/>
        <v>0.28550494734695714</v>
      </c>
      <c r="AO21" s="53">
        <f t="shared" si="14"/>
        <v>0.55420512153906143</v>
      </c>
      <c r="AP21" s="57">
        <f t="shared" si="15"/>
        <v>8.5612630642650692E-2</v>
      </c>
      <c r="AQ21" s="54">
        <f t="shared" si="1"/>
        <v>1</v>
      </c>
      <c r="AS21" s="61" t="str">
        <f t="shared" si="16"/>
        <v/>
      </c>
      <c r="AT21" s="61">
        <f t="shared" si="17"/>
        <v>68.287999999999997</v>
      </c>
    </row>
    <row r="22" spans="1:46" x14ac:dyDescent="0.3">
      <c r="A22" s="55">
        <v>690</v>
      </c>
      <c r="B22" s="57">
        <v>2.2999999999999998</v>
      </c>
      <c r="C22" s="55">
        <v>310</v>
      </c>
      <c r="D22" s="55">
        <v>1.7</v>
      </c>
      <c r="E22" s="57">
        <v>0.73</v>
      </c>
      <c r="F22" s="55">
        <v>59.7</v>
      </c>
      <c r="G22" s="55">
        <v>173.5</v>
      </c>
      <c r="H22" s="55">
        <v>30</v>
      </c>
      <c r="I22" s="55">
        <v>4.3E-3</v>
      </c>
      <c r="J22" s="55">
        <v>160</v>
      </c>
      <c r="K22" s="57">
        <v>46.978000000000002</v>
      </c>
      <c r="L22" s="53">
        <v>7.8159999999999998</v>
      </c>
      <c r="M22" s="60">
        <f t="shared" si="0"/>
        <v>39.161999999999999</v>
      </c>
      <c r="N22" s="54">
        <f t="shared" si="2"/>
        <v>0</v>
      </c>
      <c r="P22" s="6"/>
      <c r="R22" s="6"/>
      <c r="T22" s="6"/>
      <c r="V22" s="6"/>
      <c r="X22" s="6"/>
      <c r="Z22" s="6"/>
      <c r="AB22" s="8"/>
      <c r="AD22" s="55">
        <f t="shared" si="3"/>
        <v>0.89655172413793105</v>
      </c>
      <c r="AE22" s="57">
        <f t="shared" si="4"/>
        <v>9.2592592592592587E-2</v>
      </c>
      <c r="AF22" s="55">
        <f t="shared" si="5"/>
        <v>0.67245119305856837</v>
      </c>
      <c r="AG22" s="55">
        <f t="shared" si="6"/>
        <v>0.11627906976744186</v>
      </c>
      <c r="AH22" s="57">
        <f t="shared" si="7"/>
        <v>0.17537313432835822</v>
      </c>
      <c r="AI22" s="55">
        <f t="shared" si="8"/>
        <v>0.58644400785854622</v>
      </c>
      <c r="AJ22" s="55">
        <f t="shared" si="9"/>
        <v>0.63969258589511757</v>
      </c>
      <c r="AK22" s="55">
        <f t="shared" si="10"/>
        <v>0.35</v>
      </c>
      <c r="AL22" s="55">
        <f t="shared" si="11"/>
        <v>0.44483985765124556</v>
      </c>
      <c r="AM22" s="55">
        <f t="shared" si="12"/>
        <v>0.4</v>
      </c>
      <c r="AN22" s="57">
        <f t="shared" si="13"/>
        <v>0.13057332545352124</v>
      </c>
      <c r="AO22" s="53">
        <f t="shared" si="14"/>
        <v>6.2914337709606138E-2</v>
      </c>
      <c r="AP22" s="57">
        <f t="shared" si="15"/>
        <v>0.14558747977578923</v>
      </c>
      <c r="AQ22" s="54">
        <f t="shared" si="1"/>
        <v>0</v>
      </c>
      <c r="AS22" s="61">
        <f t="shared" si="16"/>
        <v>7.8159999999999998</v>
      </c>
      <c r="AT22" s="61" t="str">
        <f t="shared" si="17"/>
        <v/>
      </c>
    </row>
    <row r="23" spans="1:46" x14ac:dyDescent="0.3">
      <c r="A23" s="55">
        <v>669</v>
      </c>
      <c r="B23" s="57">
        <v>4</v>
      </c>
      <c r="C23" s="55">
        <v>345</v>
      </c>
      <c r="D23" s="55">
        <v>2.6</v>
      </c>
      <c r="E23" s="57">
        <v>0.7</v>
      </c>
      <c r="F23" s="55">
        <v>50</v>
      </c>
      <c r="G23" s="55">
        <v>144.04</v>
      </c>
      <c r="H23" s="55">
        <v>34.904000000000003</v>
      </c>
      <c r="I23" s="55">
        <v>2.8883999999999997E-3</v>
      </c>
      <c r="J23" s="55">
        <v>280</v>
      </c>
      <c r="K23" s="57">
        <v>82.096000000000004</v>
      </c>
      <c r="L23" s="53">
        <v>76.936000000000007</v>
      </c>
      <c r="M23" s="60">
        <f t="shared" si="0"/>
        <v>5.1599999999999966</v>
      </c>
      <c r="N23" s="54">
        <f t="shared" si="2"/>
        <v>1</v>
      </c>
      <c r="P23" s="6"/>
      <c r="R23" s="6"/>
      <c r="T23" s="6"/>
      <c r="V23" s="6"/>
      <c r="X23" s="6"/>
      <c r="Z23" s="6"/>
      <c r="AB23" s="8"/>
      <c r="AD23" s="55">
        <f t="shared" si="3"/>
        <v>0.8603448275862069</v>
      </c>
      <c r="AE23" s="57">
        <f t="shared" si="4"/>
        <v>0.19753086419753088</v>
      </c>
      <c r="AF23" s="55">
        <f t="shared" si="5"/>
        <v>0.74837310195227769</v>
      </c>
      <c r="AG23" s="55">
        <f t="shared" si="6"/>
        <v>0.18604651162790697</v>
      </c>
      <c r="AH23" s="57">
        <f t="shared" si="7"/>
        <v>0.16417910447761194</v>
      </c>
      <c r="AI23" s="55">
        <f t="shared" si="8"/>
        <v>0.49115913555992141</v>
      </c>
      <c r="AJ23" s="55">
        <f t="shared" si="9"/>
        <v>0.50650994575045205</v>
      </c>
      <c r="AK23" s="55">
        <f t="shared" si="10"/>
        <v>0.43173333333333341</v>
      </c>
      <c r="AL23" s="55">
        <f t="shared" si="11"/>
        <v>0.27512744060786765</v>
      </c>
      <c r="AM23" s="55">
        <f t="shared" si="12"/>
        <v>0.7</v>
      </c>
      <c r="AN23" s="57">
        <f t="shared" si="13"/>
        <v>0.25194316858305082</v>
      </c>
      <c r="AO23" s="53">
        <f t="shared" si="14"/>
        <v>0.62446379825815679</v>
      </c>
      <c r="AP23" s="57">
        <f t="shared" si="15"/>
        <v>1.5224709193101904E-2</v>
      </c>
      <c r="AQ23" s="54">
        <f t="shared" si="1"/>
        <v>1</v>
      </c>
      <c r="AS23" s="61" t="str">
        <f t="shared" si="16"/>
        <v/>
      </c>
      <c r="AT23" s="61">
        <f t="shared" si="17"/>
        <v>76.936000000000007</v>
      </c>
    </row>
    <row r="24" spans="1:46" x14ac:dyDescent="0.3">
      <c r="A24" s="55">
        <v>705</v>
      </c>
      <c r="B24" s="57">
        <v>3.2</v>
      </c>
      <c r="C24" s="55">
        <v>325</v>
      </c>
      <c r="D24" s="55">
        <v>1.5</v>
      </c>
      <c r="E24" s="57">
        <v>0.73</v>
      </c>
      <c r="F24" s="55">
        <v>50</v>
      </c>
      <c r="G24" s="55">
        <v>156.27000000000001</v>
      </c>
      <c r="H24" s="55">
        <v>27.914000000000001</v>
      </c>
      <c r="I24" s="55">
        <v>2.9159000000000003E-3</v>
      </c>
      <c r="J24" s="55">
        <v>260</v>
      </c>
      <c r="K24" s="57">
        <v>71.025000000000006</v>
      </c>
      <c r="L24" s="53">
        <v>67.147999999999996</v>
      </c>
      <c r="M24" s="60">
        <f t="shared" si="0"/>
        <v>3.8770000000000095</v>
      </c>
      <c r="N24" s="54">
        <f t="shared" si="2"/>
        <v>1</v>
      </c>
      <c r="P24" s="6"/>
      <c r="R24" s="6"/>
      <c r="T24" s="6"/>
      <c r="V24" s="6"/>
      <c r="X24" s="6"/>
      <c r="Z24" s="6"/>
      <c r="AB24" s="8"/>
      <c r="AD24" s="55">
        <f t="shared" si="3"/>
        <v>0.92241379310344829</v>
      </c>
      <c r="AE24" s="57">
        <f t="shared" si="4"/>
        <v>0.14814814814814817</v>
      </c>
      <c r="AF24" s="55">
        <f t="shared" si="5"/>
        <v>0.70498915401301521</v>
      </c>
      <c r="AG24" s="55">
        <f t="shared" si="6"/>
        <v>0.10077519379844961</v>
      </c>
      <c r="AH24" s="57">
        <f t="shared" si="7"/>
        <v>0.17537313432835822</v>
      </c>
      <c r="AI24" s="55">
        <f t="shared" si="8"/>
        <v>0.49115913555992141</v>
      </c>
      <c r="AJ24" s="55">
        <f t="shared" si="9"/>
        <v>0.56179927667269447</v>
      </c>
      <c r="AK24" s="55">
        <f t="shared" si="10"/>
        <v>0.31523333333333337</v>
      </c>
      <c r="AL24" s="55">
        <f t="shared" si="11"/>
        <v>0.27843368279311348</v>
      </c>
      <c r="AM24" s="55">
        <f t="shared" si="12"/>
        <v>0.65</v>
      </c>
      <c r="AN24" s="57">
        <f t="shared" si="13"/>
        <v>0.21368115100554008</v>
      </c>
      <c r="AO24" s="53">
        <f t="shared" si="14"/>
        <v>0.54494345508904196</v>
      </c>
      <c r="AP24" s="57">
        <f t="shared" si="15"/>
        <v>1.0305721055416292E-2</v>
      </c>
      <c r="AQ24" s="54">
        <f t="shared" si="1"/>
        <v>1</v>
      </c>
      <c r="AS24" s="61" t="str">
        <f t="shared" si="16"/>
        <v/>
      </c>
      <c r="AT24" s="61">
        <f t="shared" si="17"/>
        <v>67.147999999999996</v>
      </c>
    </row>
    <row r="25" spans="1:46" x14ac:dyDescent="0.3">
      <c r="A25" s="55">
        <v>590</v>
      </c>
      <c r="B25" s="57">
        <v>2.5</v>
      </c>
      <c r="C25" s="55">
        <v>315</v>
      </c>
      <c r="D25" s="55">
        <v>2.4</v>
      </c>
      <c r="E25" s="57">
        <v>0.75</v>
      </c>
      <c r="F25" s="55">
        <v>50</v>
      </c>
      <c r="G25" s="55">
        <v>128.93</v>
      </c>
      <c r="H25" s="55">
        <v>42.814</v>
      </c>
      <c r="I25" s="55">
        <v>3.1303999999999998E-3</v>
      </c>
      <c r="J25" s="55">
        <v>250</v>
      </c>
      <c r="K25" s="57">
        <v>64.734999999999999</v>
      </c>
      <c r="L25" s="53">
        <v>52.213000000000001</v>
      </c>
      <c r="M25" s="60">
        <f t="shared" si="0"/>
        <v>12.521999999999998</v>
      </c>
      <c r="N25" s="54">
        <f t="shared" si="2"/>
        <v>1</v>
      </c>
      <c r="P25" s="6"/>
      <c r="R25" s="6"/>
      <c r="T25" s="6"/>
      <c r="V25" s="6"/>
      <c r="X25" s="6"/>
      <c r="Z25" s="6"/>
      <c r="AB25" s="8"/>
      <c r="AD25" s="55">
        <f t="shared" si="3"/>
        <v>0.72413793103448276</v>
      </c>
      <c r="AE25" s="57">
        <f t="shared" si="4"/>
        <v>0.10493827160493828</v>
      </c>
      <c r="AF25" s="55">
        <f t="shared" si="5"/>
        <v>0.68329718004338391</v>
      </c>
      <c r="AG25" s="55">
        <f t="shared" si="6"/>
        <v>0.1705426356589147</v>
      </c>
      <c r="AH25" s="57">
        <f t="shared" si="7"/>
        <v>0.18283582089552242</v>
      </c>
      <c r="AI25" s="55">
        <f t="shared" si="8"/>
        <v>0.49115913555992141</v>
      </c>
      <c r="AJ25" s="55">
        <f t="shared" si="9"/>
        <v>0.43820072332730564</v>
      </c>
      <c r="AK25" s="55">
        <f t="shared" si="10"/>
        <v>0.56356666666666666</v>
      </c>
      <c r="AL25" s="55">
        <f t="shared" si="11"/>
        <v>0.30422237183803019</v>
      </c>
      <c r="AM25" s="55">
        <f t="shared" si="12"/>
        <v>0.625</v>
      </c>
      <c r="AN25" s="57">
        <f t="shared" si="13"/>
        <v>0.1919425464926196</v>
      </c>
      <c r="AO25" s="53">
        <f t="shared" si="14"/>
        <v>0.42360750032497074</v>
      </c>
      <c r="AP25" s="57">
        <f t="shared" si="15"/>
        <v>4.3450422887288842E-2</v>
      </c>
      <c r="AQ25" s="54">
        <f t="shared" si="1"/>
        <v>1</v>
      </c>
      <c r="AS25" s="61" t="str">
        <f t="shared" si="16"/>
        <v/>
      </c>
      <c r="AT25" s="61">
        <f t="shared" si="17"/>
        <v>52.213000000000001</v>
      </c>
    </row>
    <row r="26" spans="1:46" x14ac:dyDescent="0.3">
      <c r="A26" s="55">
        <v>640</v>
      </c>
      <c r="B26" s="57">
        <v>2.5</v>
      </c>
      <c r="C26" s="55">
        <v>315</v>
      </c>
      <c r="D26" s="55">
        <v>1.8</v>
      </c>
      <c r="E26" s="57">
        <v>0.73</v>
      </c>
      <c r="F26" s="55">
        <v>50</v>
      </c>
      <c r="G26" s="55">
        <v>144.69999999999999</v>
      </c>
      <c r="H26" s="55">
        <v>34.476999999999997</v>
      </c>
      <c r="I26" s="55">
        <v>3.3769E-3</v>
      </c>
      <c r="J26" s="55">
        <v>250</v>
      </c>
      <c r="K26" s="57">
        <v>51.658000000000001</v>
      </c>
      <c r="L26" s="53">
        <v>25.971</v>
      </c>
      <c r="M26" s="60">
        <f t="shared" si="0"/>
        <v>25.687000000000001</v>
      </c>
      <c r="N26" s="54">
        <f t="shared" si="2"/>
        <v>0</v>
      </c>
      <c r="P26" s="6"/>
      <c r="R26" s="6"/>
      <c r="T26" s="6"/>
      <c r="V26" s="6"/>
      <c r="X26" s="6"/>
      <c r="Z26" s="6"/>
      <c r="AB26" s="8"/>
      <c r="AD26" s="55">
        <f t="shared" si="3"/>
        <v>0.81034482758620685</v>
      </c>
      <c r="AE26" s="57">
        <f t="shared" si="4"/>
        <v>0.10493827160493828</v>
      </c>
      <c r="AF26" s="55">
        <f t="shared" si="5"/>
        <v>0.68329718004338391</v>
      </c>
      <c r="AG26" s="55">
        <f t="shared" si="6"/>
        <v>0.12403100775193798</v>
      </c>
      <c r="AH26" s="57">
        <f t="shared" si="7"/>
        <v>0.17537313432835822</v>
      </c>
      <c r="AI26" s="55">
        <f t="shared" si="8"/>
        <v>0.49115913555992141</v>
      </c>
      <c r="AJ26" s="55">
        <f t="shared" si="9"/>
        <v>0.50949367088607589</v>
      </c>
      <c r="AK26" s="55">
        <f t="shared" si="10"/>
        <v>0.42461666666666659</v>
      </c>
      <c r="AL26" s="55">
        <f t="shared" si="11"/>
        <v>0.33385832451668751</v>
      </c>
      <c r="AM26" s="55">
        <f t="shared" si="12"/>
        <v>0.625</v>
      </c>
      <c r="AN26" s="57">
        <f t="shared" si="13"/>
        <v>0.14674767666504232</v>
      </c>
      <c r="AO26" s="53">
        <f t="shared" si="14"/>
        <v>0.21041043806057458</v>
      </c>
      <c r="AP26" s="57">
        <f t="shared" si="15"/>
        <v>9.392468542246557E-2</v>
      </c>
      <c r="AQ26" s="54">
        <f t="shared" si="1"/>
        <v>0</v>
      </c>
      <c r="AS26" s="61">
        <f t="shared" si="16"/>
        <v>25.971</v>
      </c>
      <c r="AT26" s="61" t="str">
        <f t="shared" si="17"/>
        <v/>
      </c>
    </row>
    <row r="27" spans="1:46" x14ac:dyDescent="0.3">
      <c r="A27" s="55">
        <v>690</v>
      </c>
      <c r="B27" s="57">
        <v>2</v>
      </c>
      <c r="C27" s="55">
        <v>330</v>
      </c>
      <c r="D27" s="55">
        <v>1.5</v>
      </c>
      <c r="E27" s="57">
        <v>0.73</v>
      </c>
      <c r="F27" s="55">
        <v>50</v>
      </c>
      <c r="G27" s="55">
        <v>145.82</v>
      </c>
      <c r="H27" s="55">
        <v>33.773000000000003</v>
      </c>
      <c r="I27" s="55">
        <v>3.6706E-3</v>
      </c>
      <c r="J27" s="55">
        <v>265</v>
      </c>
      <c r="K27" s="57">
        <v>82.346000000000004</v>
      </c>
      <c r="L27" s="53">
        <v>63.28</v>
      </c>
      <c r="M27" s="60">
        <f t="shared" si="0"/>
        <v>19.066000000000003</v>
      </c>
      <c r="N27" s="54">
        <f t="shared" si="2"/>
        <v>1</v>
      </c>
      <c r="P27" s="6"/>
      <c r="R27" s="6"/>
      <c r="T27" s="6"/>
      <c r="V27" s="6"/>
      <c r="X27" s="6"/>
      <c r="Z27" s="6"/>
      <c r="AB27" s="8"/>
      <c r="AD27" s="55">
        <f t="shared" si="3"/>
        <v>0.89655172413793105</v>
      </c>
      <c r="AE27" s="57">
        <f t="shared" si="4"/>
        <v>7.407407407407407E-2</v>
      </c>
      <c r="AF27" s="55">
        <f t="shared" si="5"/>
        <v>0.71583514099783085</v>
      </c>
      <c r="AG27" s="55">
        <f t="shared" si="6"/>
        <v>0.10077519379844961</v>
      </c>
      <c r="AH27" s="57">
        <f t="shared" si="7"/>
        <v>0.17537313432835822</v>
      </c>
      <c r="AI27" s="55">
        <f t="shared" si="8"/>
        <v>0.49115913555992141</v>
      </c>
      <c r="AJ27" s="55">
        <f t="shared" si="9"/>
        <v>0.51455696202531642</v>
      </c>
      <c r="AK27" s="55">
        <f t="shared" si="10"/>
        <v>0.41288333333333338</v>
      </c>
      <c r="AL27" s="55">
        <f t="shared" si="11"/>
        <v>0.36916899105511208</v>
      </c>
      <c r="AM27" s="55">
        <f t="shared" si="12"/>
        <v>0.66249999999999998</v>
      </c>
      <c r="AN27" s="57">
        <f t="shared" si="13"/>
        <v>0.25280718307084576</v>
      </c>
      <c r="AO27" s="53">
        <f t="shared" si="14"/>
        <v>0.51351878330950218</v>
      </c>
      <c r="AP27" s="57">
        <f t="shared" si="15"/>
        <v>6.8539946171010571E-2</v>
      </c>
      <c r="AQ27" s="54">
        <f t="shared" si="1"/>
        <v>1</v>
      </c>
      <c r="AS27" s="61" t="str">
        <f t="shared" si="16"/>
        <v/>
      </c>
      <c r="AT27" s="61">
        <f t="shared" si="17"/>
        <v>63.28</v>
      </c>
    </row>
    <row r="28" spans="1:46" x14ac:dyDescent="0.3">
      <c r="A28" s="55">
        <v>655</v>
      </c>
      <c r="B28" s="57">
        <v>2.6</v>
      </c>
      <c r="C28" s="55">
        <v>345</v>
      </c>
      <c r="D28" s="55">
        <v>2.82</v>
      </c>
      <c r="E28" s="57">
        <v>0.73</v>
      </c>
      <c r="F28" s="55">
        <v>51</v>
      </c>
      <c r="G28" s="55">
        <v>125.48</v>
      </c>
      <c r="H28" s="55">
        <v>37.799999999999997</v>
      </c>
      <c r="I28" s="55">
        <v>3.176E-3</v>
      </c>
      <c r="J28" s="55">
        <v>280</v>
      </c>
      <c r="K28" s="57">
        <v>104.504</v>
      </c>
      <c r="L28" s="53">
        <v>76.174000000000007</v>
      </c>
      <c r="M28" s="60">
        <f t="shared" si="0"/>
        <v>28.33</v>
      </c>
      <c r="N28" s="54">
        <f t="shared" si="2"/>
        <v>1</v>
      </c>
      <c r="P28" s="6"/>
      <c r="R28" s="6"/>
      <c r="T28" s="6"/>
      <c r="V28" s="6"/>
      <c r="X28" s="6"/>
      <c r="Z28" s="6"/>
      <c r="AB28" s="8"/>
      <c r="AD28" s="55">
        <f t="shared" si="3"/>
        <v>0.83620689655172409</v>
      </c>
      <c r="AE28" s="57">
        <f t="shared" si="4"/>
        <v>0.11111111111111112</v>
      </c>
      <c r="AF28" s="55">
        <f t="shared" si="5"/>
        <v>0.74837310195227769</v>
      </c>
      <c r="AG28" s="55">
        <f t="shared" si="6"/>
        <v>0.20310077519379841</v>
      </c>
      <c r="AH28" s="57">
        <f t="shared" si="7"/>
        <v>0.17537313432835822</v>
      </c>
      <c r="AI28" s="55">
        <f t="shared" si="8"/>
        <v>0.50098231827111983</v>
      </c>
      <c r="AJ28" s="55">
        <f t="shared" si="9"/>
        <v>0.42260397830018087</v>
      </c>
      <c r="AK28" s="55">
        <f t="shared" si="10"/>
        <v>0.47999999999999993</v>
      </c>
      <c r="AL28" s="55">
        <f t="shared" si="11"/>
        <v>0.30970472251611048</v>
      </c>
      <c r="AM28" s="55">
        <f t="shared" si="12"/>
        <v>0.7</v>
      </c>
      <c r="AN28" s="57">
        <f t="shared" si="13"/>
        <v>0.32938651515308609</v>
      </c>
      <c r="AO28" s="53">
        <f t="shared" si="14"/>
        <v>0.61827310542051217</v>
      </c>
      <c r="AP28" s="57">
        <f t="shared" si="15"/>
        <v>0.10405787766557016</v>
      </c>
      <c r="AQ28" s="54">
        <f t="shared" si="1"/>
        <v>1</v>
      </c>
      <c r="AS28" s="61" t="str">
        <f t="shared" si="16"/>
        <v/>
      </c>
      <c r="AT28" s="61">
        <f t="shared" si="17"/>
        <v>76.174000000000007</v>
      </c>
    </row>
    <row r="29" spans="1:46" x14ac:dyDescent="0.3">
      <c r="A29" s="55">
        <v>700</v>
      </c>
      <c r="B29" s="57">
        <v>5</v>
      </c>
      <c r="C29" s="55">
        <v>340</v>
      </c>
      <c r="D29" s="55">
        <v>0.6</v>
      </c>
      <c r="E29" s="57">
        <v>0.73</v>
      </c>
      <c r="F29" s="55">
        <v>69.8</v>
      </c>
      <c r="G29" s="55">
        <v>153</v>
      </c>
      <c r="H29" s="55">
        <v>29</v>
      </c>
      <c r="I29" s="55">
        <v>5.0312063138558899E-3</v>
      </c>
      <c r="J29" s="55">
        <v>260</v>
      </c>
      <c r="K29" s="57">
        <v>88.63</v>
      </c>
      <c r="L29" s="53">
        <v>83.671000000000006</v>
      </c>
      <c r="M29" s="60">
        <f t="shared" si="0"/>
        <v>4.958999999999989</v>
      </c>
      <c r="N29" s="54">
        <f t="shared" si="2"/>
        <v>1</v>
      </c>
      <c r="P29" s="6"/>
      <c r="R29" s="6"/>
      <c r="T29" s="6"/>
      <c r="V29" s="6"/>
      <c r="X29" s="6"/>
      <c r="Z29" s="6"/>
      <c r="AB29" s="8"/>
      <c r="AD29" s="55">
        <f t="shared" si="3"/>
        <v>0.91379310344827591</v>
      </c>
      <c r="AE29" s="57">
        <f t="shared" si="4"/>
        <v>0.2592592592592593</v>
      </c>
      <c r="AF29" s="55">
        <f t="shared" si="5"/>
        <v>0.73752711496746204</v>
      </c>
      <c r="AG29" s="55">
        <f t="shared" si="6"/>
        <v>3.1007751937984492E-2</v>
      </c>
      <c r="AH29" s="57">
        <f t="shared" si="7"/>
        <v>0.17537313432835822</v>
      </c>
      <c r="AI29" s="55">
        <f t="shared" si="8"/>
        <v>0.68565815324165025</v>
      </c>
      <c r="AJ29" s="55">
        <f t="shared" si="9"/>
        <v>0.54701627486437621</v>
      </c>
      <c r="AK29" s="55">
        <f t="shared" si="10"/>
        <v>0.33333333333333331</v>
      </c>
      <c r="AL29" s="55">
        <f t="shared" si="11"/>
        <v>0.53275059077809583</v>
      </c>
      <c r="AM29" s="55">
        <f t="shared" si="12"/>
        <v>0.65</v>
      </c>
      <c r="AN29" s="57">
        <f t="shared" si="13"/>
        <v>0.27452505123605914</v>
      </c>
      <c r="AO29" s="53">
        <f t="shared" si="14"/>
        <v>0.67918074873261414</v>
      </c>
      <c r="AP29" s="57">
        <f t="shared" si="15"/>
        <v>1.445408049810981E-2</v>
      </c>
      <c r="AQ29" s="54">
        <f t="shared" si="1"/>
        <v>1</v>
      </c>
      <c r="AS29" s="61" t="str">
        <f t="shared" si="16"/>
        <v/>
      </c>
      <c r="AT29" s="61">
        <f t="shared" si="17"/>
        <v>83.671000000000006</v>
      </c>
    </row>
    <row r="30" spans="1:46" x14ac:dyDescent="0.3">
      <c r="A30" s="55">
        <v>640</v>
      </c>
      <c r="B30" s="57">
        <v>5.5</v>
      </c>
      <c r="C30" s="55">
        <v>330</v>
      </c>
      <c r="D30" s="55">
        <v>1.1000000000000001</v>
      </c>
      <c r="E30" s="57">
        <v>0.73</v>
      </c>
      <c r="F30" s="55">
        <v>69.8</v>
      </c>
      <c r="G30" s="55">
        <v>142.9</v>
      </c>
      <c r="H30" s="55">
        <v>42.16</v>
      </c>
      <c r="I30" s="55">
        <v>4.1599999999999996E-3</v>
      </c>
      <c r="J30" s="55">
        <v>265</v>
      </c>
      <c r="K30" s="57">
        <v>106.845</v>
      </c>
      <c r="L30" s="53">
        <v>102.273</v>
      </c>
      <c r="M30" s="60">
        <f t="shared" si="0"/>
        <v>4.5720000000000027</v>
      </c>
      <c r="N30" s="54">
        <f t="shared" si="2"/>
        <v>1</v>
      </c>
      <c r="P30" s="6"/>
      <c r="R30" s="6"/>
      <c r="T30" s="6"/>
      <c r="V30" s="6"/>
      <c r="X30" s="6"/>
      <c r="Z30" s="6"/>
      <c r="AB30" s="8"/>
      <c r="AD30" s="55">
        <f t="shared" si="3"/>
        <v>0.81034482758620685</v>
      </c>
      <c r="AE30" s="57">
        <f t="shared" si="4"/>
        <v>0.29012345679012347</v>
      </c>
      <c r="AF30" s="55">
        <f t="shared" si="5"/>
        <v>0.71583514099783085</v>
      </c>
      <c r="AG30" s="55">
        <f t="shared" si="6"/>
        <v>6.9767441860465129E-2</v>
      </c>
      <c r="AH30" s="57">
        <f t="shared" si="7"/>
        <v>0.17537313432835822</v>
      </c>
      <c r="AI30" s="55">
        <f t="shared" si="8"/>
        <v>0.68565815324165025</v>
      </c>
      <c r="AJ30" s="55">
        <f t="shared" si="9"/>
        <v>0.50135623869801094</v>
      </c>
      <c r="AK30" s="55">
        <f t="shared" si="10"/>
        <v>0.55266666666666664</v>
      </c>
      <c r="AL30" s="55">
        <f t="shared" si="11"/>
        <v>0.42800807925363082</v>
      </c>
      <c r="AM30" s="55">
        <f t="shared" si="12"/>
        <v>0.66249999999999998</v>
      </c>
      <c r="AN30" s="57">
        <f t="shared" si="13"/>
        <v>0.33747714681679786</v>
      </c>
      <c r="AO30" s="53">
        <f t="shared" si="14"/>
        <v>0.83030839724424799</v>
      </c>
      <c r="AP30" s="57">
        <f t="shared" si="15"/>
        <v>1.2970332712229622E-2</v>
      </c>
      <c r="AQ30" s="54">
        <f t="shared" si="1"/>
        <v>1</v>
      </c>
      <c r="AS30" s="61" t="str">
        <f t="shared" si="16"/>
        <v/>
      </c>
      <c r="AT30" s="61">
        <f t="shared" si="17"/>
        <v>102.273</v>
      </c>
    </row>
    <row r="31" spans="1:46" x14ac:dyDescent="0.3">
      <c r="A31" s="55">
        <v>700</v>
      </c>
      <c r="B31" s="57">
        <v>5.2</v>
      </c>
      <c r="C31" s="55">
        <v>345</v>
      </c>
      <c r="D31" s="55">
        <v>1</v>
      </c>
      <c r="E31" s="57">
        <v>0.73</v>
      </c>
      <c r="F31" s="55">
        <v>69.8</v>
      </c>
      <c r="G31" s="55">
        <v>166.6</v>
      </c>
      <c r="H31" s="55">
        <v>44.3</v>
      </c>
      <c r="I31" s="55">
        <v>3.0699999999999998E-3</v>
      </c>
      <c r="J31" s="55">
        <v>280</v>
      </c>
      <c r="K31" s="57">
        <v>87.417000000000002</v>
      </c>
      <c r="L31" s="53">
        <v>68.864000000000004</v>
      </c>
      <c r="M31" s="60">
        <f t="shared" si="0"/>
        <v>18.552999999999997</v>
      </c>
      <c r="N31" s="54">
        <f t="shared" si="2"/>
        <v>1</v>
      </c>
      <c r="P31" s="6"/>
      <c r="R31" s="6"/>
      <c r="T31" s="6"/>
      <c r="V31" s="6"/>
      <c r="X31" s="6"/>
      <c r="Z31" s="6"/>
      <c r="AB31" s="8"/>
      <c r="AD31" s="55">
        <f t="shared" si="3"/>
        <v>0.91379310344827591</v>
      </c>
      <c r="AE31" s="57">
        <f t="shared" si="4"/>
        <v>0.27160493827160498</v>
      </c>
      <c r="AF31" s="55">
        <f t="shared" si="5"/>
        <v>0.74837310195227769</v>
      </c>
      <c r="AG31" s="55">
        <f t="shared" si="6"/>
        <v>6.2015503875968991E-2</v>
      </c>
      <c r="AH31" s="57">
        <f t="shared" si="7"/>
        <v>0.17537313432835822</v>
      </c>
      <c r="AI31" s="55">
        <f t="shared" si="8"/>
        <v>0.68565815324165025</v>
      </c>
      <c r="AJ31" s="55">
        <f t="shared" si="9"/>
        <v>0.60849909584086803</v>
      </c>
      <c r="AK31" s="55">
        <f t="shared" si="10"/>
        <v>0.58833333333333326</v>
      </c>
      <c r="AL31" s="55">
        <f t="shared" si="11"/>
        <v>0.29696066172934499</v>
      </c>
      <c r="AM31" s="55">
        <f t="shared" si="12"/>
        <v>0.7</v>
      </c>
      <c r="AN31" s="57">
        <f t="shared" si="13"/>
        <v>0.27033285294127812</v>
      </c>
      <c r="AO31" s="53">
        <f t="shared" si="14"/>
        <v>0.55888470037696614</v>
      </c>
      <c r="AP31" s="57">
        <f t="shared" si="15"/>
        <v>6.6573117710657673E-2</v>
      </c>
      <c r="AQ31" s="54">
        <f t="shared" si="1"/>
        <v>1</v>
      </c>
      <c r="AS31" s="61" t="str">
        <f t="shared" si="16"/>
        <v/>
      </c>
      <c r="AT31" s="61">
        <f t="shared" si="17"/>
        <v>68.864000000000004</v>
      </c>
    </row>
    <row r="32" spans="1:46" x14ac:dyDescent="0.3">
      <c r="A32" s="55">
        <v>610</v>
      </c>
      <c r="B32" s="57">
        <v>4.5999999999999996</v>
      </c>
      <c r="C32" s="55">
        <v>290</v>
      </c>
      <c r="D32" s="55">
        <v>3</v>
      </c>
      <c r="E32" s="57">
        <v>0.84</v>
      </c>
      <c r="F32" s="55">
        <v>51</v>
      </c>
      <c r="G32" s="55">
        <v>143.25</v>
      </c>
      <c r="H32" s="55">
        <v>18.702999999999999</v>
      </c>
      <c r="I32" s="55">
        <v>6.0019000000000001E-3</v>
      </c>
      <c r="J32" s="55">
        <v>225</v>
      </c>
      <c r="K32" s="57">
        <v>81.706000000000003</v>
      </c>
      <c r="L32" s="53">
        <v>78.081999999999994</v>
      </c>
      <c r="M32" s="60">
        <f t="shared" si="0"/>
        <v>3.6240000000000094</v>
      </c>
      <c r="N32" s="54">
        <f t="shared" si="2"/>
        <v>1</v>
      </c>
      <c r="P32" s="6"/>
      <c r="R32" s="6"/>
      <c r="T32" s="6"/>
      <c r="V32" s="6"/>
      <c r="X32" s="6"/>
      <c r="Z32" s="6"/>
      <c r="AB32" s="8"/>
      <c r="AD32" s="55">
        <f t="shared" si="3"/>
        <v>0.75862068965517238</v>
      </c>
      <c r="AE32" s="57">
        <f t="shared" si="4"/>
        <v>0.23456790123456789</v>
      </c>
      <c r="AF32" s="55">
        <f t="shared" si="5"/>
        <v>0.6290672451193059</v>
      </c>
      <c r="AG32" s="55">
        <f t="shared" si="6"/>
        <v>0.21705426356589144</v>
      </c>
      <c r="AH32" s="57">
        <f t="shared" si="7"/>
        <v>0.21641791044776121</v>
      </c>
      <c r="AI32" s="55">
        <f t="shared" si="8"/>
        <v>0.50098231827111983</v>
      </c>
      <c r="AJ32" s="55">
        <f t="shared" si="9"/>
        <v>0.50293851717902349</v>
      </c>
      <c r="AK32" s="55">
        <f t="shared" si="10"/>
        <v>0.16171666666666665</v>
      </c>
      <c r="AL32" s="55">
        <f t="shared" si="11"/>
        <v>0.64945416947196311</v>
      </c>
      <c r="AM32" s="55">
        <f t="shared" si="12"/>
        <v>0.5625</v>
      </c>
      <c r="AN32" s="57">
        <f t="shared" si="13"/>
        <v>0.25059530598209073</v>
      </c>
      <c r="AO32" s="53">
        <f t="shared" si="14"/>
        <v>0.63377421032107106</v>
      </c>
      <c r="AP32" s="57">
        <f t="shared" si="15"/>
        <v>9.3357257328640919E-3</v>
      </c>
      <c r="AQ32" s="54">
        <f t="shared" si="1"/>
        <v>1</v>
      </c>
      <c r="AS32" s="61" t="str">
        <f t="shared" si="16"/>
        <v/>
      </c>
      <c r="AT32" s="61">
        <f t="shared" si="17"/>
        <v>78.081999999999994</v>
      </c>
    </row>
    <row r="33" spans="1:46" x14ac:dyDescent="0.3">
      <c r="A33" s="55">
        <v>690</v>
      </c>
      <c r="B33" s="57">
        <v>5</v>
      </c>
      <c r="C33" s="55">
        <v>270</v>
      </c>
      <c r="D33" s="55">
        <v>0.89</v>
      </c>
      <c r="E33" s="57">
        <v>0.84</v>
      </c>
      <c r="F33" s="55">
        <v>38.299999999999997</v>
      </c>
      <c r="G33" s="55">
        <v>157</v>
      </c>
      <c r="H33" s="55">
        <v>37</v>
      </c>
      <c r="I33" s="55">
        <v>4.4424946828891757E-3</v>
      </c>
      <c r="J33" s="55">
        <v>220</v>
      </c>
      <c r="K33" s="57">
        <v>82.311000000000007</v>
      </c>
      <c r="L33" s="53">
        <v>75.242000000000004</v>
      </c>
      <c r="M33" s="60">
        <f t="shared" si="0"/>
        <v>7.0690000000000026</v>
      </c>
      <c r="N33" s="54">
        <f t="shared" si="2"/>
        <v>1</v>
      </c>
      <c r="P33" s="6"/>
      <c r="R33" s="6"/>
      <c r="T33" s="6"/>
      <c r="V33" s="6"/>
      <c r="X33" s="6"/>
      <c r="Z33" s="6"/>
      <c r="AB33" s="8"/>
      <c r="AD33" s="55">
        <f t="shared" si="3"/>
        <v>0.89655172413793105</v>
      </c>
      <c r="AE33" s="57">
        <f t="shared" si="4"/>
        <v>0.2592592592592593</v>
      </c>
      <c r="AF33" s="55">
        <f t="shared" si="5"/>
        <v>0.58568329718004342</v>
      </c>
      <c r="AG33" s="55">
        <f t="shared" si="6"/>
        <v>5.3488372093023248E-2</v>
      </c>
      <c r="AH33" s="57">
        <f t="shared" si="7"/>
        <v>0.21641791044776121</v>
      </c>
      <c r="AI33" s="55">
        <f t="shared" si="8"/>
        <v>0.37622789783889976</v>
      </c>
      <c r="AJ33" s="55">
        <f t="shared" si="9"/>
        <v>0.56509945750452084</v>
      </c>
      <c r="AK33" s="55">
        <f t="shared" si="10"/>
        <v>0.46666666666666667</v>
      </c>
      <c r="AL33" s="55">
        <f t="shared" si="11"/>
        <v>0.46197156426002406</v>
      </c>
      <c r="AM33" s="55">
        <f t="shared" si="12"/>
        <v>0.55000000000000004</v>
      </c>
      <c r="AN33" s="57">
        <f t="shared" si="13"/>
        <v>0.25268622104255445</v>
      </c>
      <c r="AO33" s="53">
        <f t="shared" si="14"/>
        <v>0.61070128688418046</v>
      </c>
      <c r="AP33" s="57">
        <f t="shared" si="15"/>
        <v>2.2543764808723069E-2</v>
      </c>
      <c r="AQ33" s="54">
        <f t="shared" si="1"/>
        <v>1</v>
      </c>
      <c r="AS33" s="61" t="str">
        <f t="shared" si="16"/>
        <v/>
      </c>
      <c r="AT33" s="61">
        <f t="shared" si="17"/>
        <v>75.242000000000004</v>
      </c>
    </row>
    <row r="34" spans="1:46" x14ac:dyDescent="0.3">
      <c r="A34" s="55">
        <v>700</v>
      </c>
      <c r="B34" s="57">
        <v>2</v>
      </c>
      <c r="C34" s="55">
        <v>330</v>
      </c>
      <c r="D34" s="55">
        <v>2.4</v>
      </c>
      <c r="E34" s="57">
        <v>0.75</v>
      </c>
      <c r="F34" s="55">
        <v>50</v>
      </c>
      <c r="G34" s="55">
        <v>137.74</v>
      </c>
      <c r="H34" s="55">
        <v>33.912999999999997</v>
      </c>
      <c r="I34" s="55">
        <v>3.3296999999999997E-3</v>
      </c>
      <c r="J34" s="55">
        <v>265</v>
      </c>
      <c r="K34" s="57">
        <v>54.475999999999999</v>
      </c>
      <c r="L34" s="53">
        <v>43.128999999999998</v>
      </c>
      <c r="M34" s="60">
        <f t="shared" si="0"/>
        <v>11.347000000000001</v>
      </c>
      <c r="N34" s="54">
        <f t="shared" si="2"/>
        <v>1</v>
      </c>
      <c r="P34" s="6"/>
      <c r="R34" s="6"/>
      <c r="T34" s="6"/>
      <c r="V34" s="6"/>
      <c r="X34" s="6"/>
      <c r="Z34" s="6"/>
      <c r="AB34" s="8"/>
      <c r="AD34" s="55">
        <f t="shared" si="3"/>
        <v>0.91379310344827591</v>
      </c>
      <c r="AE34" s="57">
        <f t="shared" si="4"/>
        <v>7.407407407407407E-2</v>
      </c>
      <c r="AF34" s="55">
        <f t="shared" si="5"/>
        <v>0.71583514099783085</v>
      </c>
      <c r="AG34" s="55">
        <f t="shared" si="6"/>
        <v>0.1705426356589147</v>
      </c>
      <c r="AH34" s="57">
        <f t="shared" si="7"/>
        <v>0.18283582089552242</v>
      </c>
      <c r="AI34" s="55">
        <f t="shared" si="8"/>
        <v>0.49115913555992141</v>
      </c>
      <c r="AJ34" s="55">
        <f t="shared" si="9"/>
        <v>0.47802893309222427</v>
      </c>
      <c r="AK34" s="55">
        <f t="shared" si="10"/>
        <v>0.41521666666666662</v>
      </c>
      <c r="AL34" s="55">
        <f t="shared" si="11"/>
        <v>0.32818361065692025</v>
      </c>
      <c r="AM34" s="55">
        <f t="shared" si="12"/>
        <v>0.66249999999999998</v>
      </c>
      <c r="AN34" s="57">
        <f t="shared" si="13"/>
        <v>0.15648684797146678</v>
      </c>
      <c r="AO34" s="53">
        <f t="shared" si="14"/>
        <v>0.34980664240218379</v>
      </c>
      <c r="AP34" s="57">
        <f t="shared" si="15"/>
        <v>3.894550389915117E-2</v>
      </c>
      <c r="AQ34" s="54">
        <f t="shared" si="1"/>
        <v>1</v>
      </c>
      <c r="AS34" s="61" t="str">
        <f t="shared" si="16"/>
        <v/>
      </c>
      <c r="AT34" s="61">
        <f t="shared" si="17"/>
        <v>43.128999999999998</v>
      </c>
    </row>
    <row r="35" spans="1:46" x14ac:dyDescent="0.3">
      <c r="A35" s="55">
        <v>700</v>
      </c>
      <c r="B35" s="57">
        <v>0.8</v>
      </c>
      <c r="C35" s="55">
        <v>330</v>
      </c>
      <c r="D35" s="55">
        <v>1.4</v>
      </c>
      <c r="E35" s="57">
        <v>0.73</v>
      </c>
      <c r="F35" s="55">
        <v>50</v>
      </c>
      <c r="G35" s="55">
        <v>121.28</v>
      </c>
      <c r="H35" s="55">
        <v>38.636000000000003</v>
      </c>
      <c r="I35" s="55">
        <v>3.7904000000000002E-3</v>
      </c>
      <c r="J35" s="55">
        <v>265</v>
      </c>
      <c r="K35" s="57">
        <v>62.767000000000003</v>
      </c>
      <c r="L35" s="53">
        <v>49.904000000000003</v>
      </c>
      <c r="M35" s="60">
        <f t="shared" si="0"/>
        <v>12.863</v>
      </c>
      <c r="N35" s="54">
        <f t="shared" si="2"/>
        <v>1</v>
      </c>
      <c r="P35" s="6"/>
      <c r="R35" s="6"/>
      <c r="T35" s="6"/>
      <c r="V35" s="6"/>
      <c r="X35" s="6"/>
      <c r="Z35" s="6"/>
      <c r="AB35" s="8"/>
      <c r="AD35" s="55">
        <f t="shared" si="3"/>
        <v>0.91379310344827591</v>
      </c>
      <c r="AE35" s="57">
        <f t="shared" si="4"/>
        <v>0</v>
      </c>
      <c r="AF35" s="55">
        <f t="shared" si="5"/>
        <v>0.71583514099783085</v>
      </c>
      <c r="AG35" s="55">
        <f t="shared" si="6"/>
        <v>9.3023255813953487E-2</v>
      </c>
      <c r="AH35" s="57">
        <f t="shared" si="7"/>
        <v>0.17537313432835822</v>
      </c>
      <c r="AI35" s="55">
        <f t="shared" si="8"/>
        <v>0.49115913555992141</v>
      </c>
      <c r="AJ35" s="55">
        <f t="shared" si="9"/>
        <v>0.40361663652802898</v>
      </c>
      <c r="AK35" s="55">
        <f t="shared" si="10"/>
        <v>0.49393333333333339</v>
      </c>
      <c r="AL35" s="55">
        <f t="shared" si="11"/>
        <v>0.38357218428392814</v>
      </c>
      <c r="AM35" s="55">
        <f t="shared" si="12"/>
        <v>0.66249999999999998</v>
      </c>
      <c r="AN35" s="57">
        <f t="shared" si="13"/>
        <v>0.18514102444469793</v>
      </c>
      <c r="AO35" s="53">
        <f t="shared" si="14"/>
        <v>0.40484856362927341</v>
      </c>
      <c r="AP35" s="57">
        <f t="shared" si="15"/>
        <v>4.4757807887250506E-2</v>
      </c>
      <c r="AQ35" s="54">
        <f t="shared" ref="AQ35:AQ67" si="18">IF(L35&lt;$T$16,0,1)</f>
        <v>1</v>
      </c>
      <c r="AS35" s="61" t="str">
        <f t="shared" si="16"/>
        <v/>
      </c>
      <c r="AT35" s="61">
        <f t="shared" si="17"/>
        <v>49.904000000000003</v>
      </c>
    </row>
    <row r="36" spans="1:46" x14ac:dyDescent="0.3">
      <c r="A36" s="55">
        <v>660</v>
      </c>
      <c r="B36" s="57">
        <v>5.2</v>
      </c>
      <c r="C36" s="55">
        <v>360</v>
      </c>
      <c r="D36" s="55">
        <v>0.8</v>
      </c>
      <c r="E36" s="57">
        <v>0.73</v>
      </c>
      <c r="F36" s="55">
        <v>70.8</v>
      </c>
      <c r="G36" s="55">
        <v>155.5</v>
      </c>
      <c r="H36" s="55">
        <v>38.020000000000003</v>
      </c>
      <c r="I36" s="55">
        <v>4.1399999999999996E-3</v>
      </c>
      <c r="J36" s="55">
        <v>295</v>
      </c>
      <c r="K36" s="57">
        <v>63.98</v>
      </c>
      <c r="L36" s="53">
        <v>45.247</v>
      </c>
      <c r="M36" s="60">
        <f t="shared" si="0"/>
        <v>18.732999999999997</v>
      </c>
      <c r="N36" s="54">
        <f t="shared" si="2"/>
        <v>1</v>
      </c>
      <c r="P36" s="6"/>
      <c r="R36" s="6"/>
      <c r="T36" s="6"/>
      <c r="V36" s="6"/>
      <c r="X36" s="6"/>
      <c r="Z36" s="6"/>
      <c r="AB36" s="8"/>
      <c r="AD36" s="55">
        <f t="shared" si="3"/>
        <v>0.84482758620689657</v>
      </c>
      <c r="AE36" s="57">
        <f t="shared" si="4"/>
        <v>0.27160493827160498</v>
      </c>
      <c r="AF36" s="55">
        <f t="shared" si="5"/>
        <v>0.78091106290672452</v>
      </c>
      <c r="AG36" s="55">
        <f t="shared" si="6"/>
        <v>4.651162790697675E-2</v>
      </c>
      <c r="AH36" s="57">
        <f t="shared" si="7"/>
        <v>0.17537313432835822</v>
      </c>
      <c r="AI36" s="55">
        <f t="shared" si="8"/>
        <v>0.69548133595284867</v>
      </c>
      <c r="AJ36" s="55">
        <f t="shared" si="9"/>
        <v>0.5583182640144666</v>
      </c>
      <c r="AK36" s="55">
        <f t="shared" si="10"/>
        <v>0.48366666666666674</v>
      </c>
      <c r="AL36" s="55">
        <f t="shared" si="11"/>
        <v>0.42560353948254304</v>
      </c>
      <c r="AM36" s="55">
        <f t="shared" si="12"/>
        <v>0.73750000000000004</v>
      </c>
      <c r="AN36" s="57">
        <f t="shared" si="13"/>
        <v>0.18933322273947892</v>
      </c>
      <c r="AO36" s="53">
        <f t="shared" si="14"/>
        <v>0.36701384375406215</v>
      </c>
      <c r="AP36" s="57">
        <f t="shared" si="15"/>
        <v>6.7263232959904301E-2</v>
      </c>
      <c r="AQ36" s="54">
        <f t="shared" si="18"/>
        <v>1</v>
      </c>
      <c r="AS36" s="61" t="str">
        <f t="shared" si="16"/>
        <v/>
      </c>
      <c r="AT36" s="61">
        <f t="shared" si="17"/>
        <v>45.247</v>
      </c>
    </row>
    <row r="37" spans="1:46" x14ac:dyDescent="0.3">
      <c r="A37" s="55">
        <v>695</v>
      </c>
      <c r="B37" s="57">
        <v>4.0999999999999996</v>
      </c>
      <c r="C37" s="55">
        <v>340</v>
      </c>
      <c r="D37" s="55">
        <v>0.8</v>
      </c>
      <c r="E37" s="57">
        <v>0.83899999999999997</v>
      </c>
      <c r="F37" s="55">
        <v>71.8</v>
      </c>
      <c r="G37" s="55">
        <v>169.6</v>
      </c>
      <c r="H37" s="55">
        <v>29.5</v>
      </c>
      <c r="I37" s="55">
        <v>5.5999999999999999E-3</v>
      </c>
      <c r="J37" s="55">
        <v>190</v>
      </c>
      <c r="K37" s="57">
        <v>80.968999999999994</v>
      </c>
      <c r="L37" s="53">
        <v>62.677</v>
      </c>
      <c r="M37" s="60">
        <f t="shared" si="0"/>
        <v>18.291999999999994</v>
      </c>
      <c r="N37" s="54">
        <f t="shared" si="2"/>
        <v>1</v>
      </c>
      <c r="P37" s="6"/>
      <c r="R37" s="6"/>
      <c r="T37" s="6"/>
      <c r="V37" s="6"/>
      <c r="X37" s="6"/>
      <c r="Z37" s="6"/>
      <c r="AB37" s="8"/>
      <c r="AD37" s="55">
        <f t="shared" si="3"/>
        <v>0.90517241379310343</v>
      </c>
      <c r="AE37" s="57">
        <f t="shared" si="4"/>
        <v>0.20370370370370369</v>
      </c>
      <c r="AF37" s="55">
        <f t="shared" si="5"/>
        <v>0.73752711496746204</v>
      </c>
      <c r="AG37" s="55">
        <f t="shared" si="6"/>
        <v>4.651162790697675E-2</v>
      </c>
      <c r="AH37" s="57">
        <f t="shared" si="7"/>
        <v>0.21604477611940298</v>
      </c>
      <c r="AI37" s="55">
        <f t="shared" si="8"/>
        <v>0.7053045186640472</v>
      </c>
      <c r="AJ37" s="55">
        <f t="shared" si="9"/>
        <v>0.62206148282097651</v>
      </c>
      <c r="AK37" s="55">
        <f t="shared" si="10"/>
        <v>0.34166666666666667</v>
      </c>
      <c r="AL37" s="55">
        <f t="shared" si="11"/>
        <v>0.60113494277195345</v>
      </c>
      <c r="AM37" s="55">
        <f t="shared" si="12"/>
        <v>0.47499999999999998</v>
      </c>
      <c r="AN37" s="57">
        <f t="shared" si="13"/>
        <v>0.24804819127207123</v>
      </c>
      <c r="AO37" s="53">
        <f t="shared" si="14"/>
        <v>0.50861984921357073</v>
      </c>
      <c r="AP37" s="57">
        <f t="shared" si="15"/>
        <v>6.5572450599250057E-2</v>
      </c>
      <c r="AQ37" s="54">
        <f t="shared" si="18"/>
        <v>1</v>
      </c>
      <c r="AS37" s="61" t="str">
        <f t="shared" si="16"/>
        <v/>
      </c>
      <c r="AT37" s="61">
        <f t="shared" si="17"/>
        <v>62.677</v>
      </c>
    </row>
    <row r="38" spans="1:46" x14ac:dyDescent="0.3">
      <c r="A38" s="55">
        <v>695</v>
      </c>
      <c r="B38" s="57">
        <v>7.4</v>
      </c>
      <c r="C38" s="55">
        <v>385</v>
      </c>
      <c r="D38" s="55">
        <v>0.8</v>
      </c>
      <c r="E38" s="57">
        <v>0.83899999999999997</v>
      </c>
      <c r="F38" s="55">
        <v>69.7</v>
      </c>
      <c r="G38" s="55">
        <v>208.8</v>
      </c>
      <c r="H38" s="55">
        <v>28</v>
      </c>
      <c r="I38" s="55">
        <v>4.7999999999999996E-3</v>
      </c>
      <c r="J38" s="55">
        <v>320</v>
      </c>
      <c r="K38" s="57">
        <v>97.424999999999997</v>
      </c>
      <c r="L38" s="53">
        <v>76.513999999999996</v>
      </c>
      <c r="M38" s="60">
        <f t="shared" si="0"/>
        <v>20.911000000000001</v>
      </c>
      <c r="N38" s="54">
        <f t="shared" si="2"/>
        <v>1</v>
      </c>
      <c r="P38" s="6"/>
      <c r="R38" s="6"/>
      <c r="T38" s="6"/>
      <c r="V38" s="6"/>
      <c r="X38" s="6"/>
      <c r="Z38" s="6"/>
      <c r="AB38" s="8"/>
      <c r="AD38" s="55">
        <f t="shared" si="3"/>
        <v>0.90517241379310343</v>
      </c>
      <c r="AE38" s="57">
        <f t="shared" si="4"/>
        <v>0.40740740740740744</v>
      </c>
      <c r="AF38" s="55">
        <f t="shared" si="5"/>
        <v>0.83514099783080264</v>
      </c>
      <c r="AG38" s="55">
        <f t="shared" si="6"/>
        <v>4.651162790697675E-2</v>
      </c>
      <c r="AH38" s="57">
        <f t="shared" si="7"/>
        <v>0.21604477611940298</v>
      </c>
      <c r="AI38" s="55">
        <f t="shared" si="8"/>
        <v>0.68467583497053053</v>
      </c>
      <c r="AJ38" s="55">
        <f t="shared" si="9"/>
        <v>0.79927667269439429</v>
      </c>
      <c r="AK38" s="55">
        <f t="shared" si="10"/>
        <v>0.31666666666666665</v>
      </c>
      <c r="AL38" s="55">
        <f t="shared" si="11"/>
        <v>0.50495335192844093</v>
      </c>
      <c r="AM38" s="55">
        <f t="shared" si="12"/>
        <v>0.8</v>
      </c>
      <c r="AN38" s="57">
        <f t="shared" si="13"/>
        <v>0.30492108091668479</v>
      </c>
      <c r="AO38" s="53">
        <f t="shared" si="14"/>
        <v>0.62103535681788635</v>
      </c>
      <c r="AP38" s="57">
        <f t="shared" si="15"/>
        <v>7.5613627475788467E-2</v>
      </c>
      <c r="AQ38" s="54">
        <f t="shared" si="18"/>
        <v>1</v>
      </c>
      <c r="AS38" s="61" t="str">
        <f t="shared" si="16"/>
        <v/>
      </c>
      <c r="AT38" s="61">
        <f t="shared" si="17"/>
        <v>76.513999999999996</v>
      </c>
    </row>
    <row r="39" spans="1:46" x14ac:dyDescent="0.3">
      <c r="A39" s="55">
        <v>700</v>
      </c>
      <c r="B39" s="57">
        <v>5</v>
      </c>
      <c r="C39" s="55">
        <v>245</v>
      </c>
      <c r="D39" s="55">
        <v>0.8</v>
      </c>
      <c r="E39" s="57">
        <v>0.73</v>
      </c>
      <c r="F39" s="55">
        <v>45.8</v>
      </c>
      <c r="G39" s="55">
        <v>128.69999999999999</v>
      </c>
      <c r="H39" s="55">
        <v>47.36</v>
      </c>
      <c r="I39" s="55">
        <v>2.5900000000000003E-3</v>
      </c>
      <c r="J39" s="55">
        <v>185</v>
      </c>
      <c r="K39" s="57">
        <v>76.290000000000006</v>
      </c>
      <c r="L39" s="53">
        <v>58.551000000000002</v>
      </c>
      <c r="M39" s="60">
        <f t="shared" si="0"/>
        <v>17.739000000000004</v>
      </c>
      <c r="N39" s="54">
        <f t="shared" si="2"/>
        <v>1</v>
      </c>
      <c r="P39" s="6"/>
      <c r="R39" s="6"/>
      <c r="T39" s="6"/>
      <c r="V39" s="6"/>
      <c r="X39" s="6"/>
      <c r="Z39" s="6"/>
      <c r="AB39" s="8"/>
      <c r="AD39" s="55">
        <f t="shared" si="3"/>
        <v>0.91379310344827591</v>
      </c>
      <c r="AE39" s="57">
        <f t="shared" si="4"/>
        <v>0.2592592592592593</v>
      </c>
      <c r="AF39" s="55">
        <f t="shared" si="5"/>
        <v>0.53145336225596529</v>
      </c>
      <c r="AG39" s="55">
        <f t="shared" si="6"/>
        <v>4.651162790697675E-2</v>
      </c>
      <c r="AH39" s="57">
        <f t="shared" si="7"/>
        <v>0.17537313432835822</v>
      </c>
      <c r="AI39" s="55">
        <f t="shared" si="8"/>
        <v>0.44990176817288802</v>
      </c>
      <c r="AJ39" s="55">
        <f t="shared" si="9"/>
        <v>0.43716094032549724</v>
      </c>
      <c r="AK39" s="55">
        <f t="shared" si="10"/>
        <v>0.63933333333333331</v>
      </c>
      <c r="AL39" s="55">
        <f t="shared" si="11"/>
        <v>0.23925170722323755</v>
      </c>
      <c r="AM39" s="55">
        <f t="shared" si="12"/>
        <v>0.46250000000000002</v>
      </c>
      <c r="AN39" s="57">
        <f t="shared" si="13"/>
        <v>0.23187729611850133</v>
      </c>
      <c r="AO39" s="53">
        <f t="shared" si="14"/>
        <v>0.47509911607955285</v>
      </c>
      <c r="AP39" s="57">
        <f t="shared" si="15"/>
        <v>6.345226319462019E-2</v>
      </c>
      <c r="AQ39" s="54">
        <f t="shared" si="18"/>
        <v>1</v>
      </c>
      <c r="AS39" s="61" t="str">
        <f t="shared" si="16"/>
        <v/>
      </c>
      <c r="AT39" s="61">
        <f t="shared" si="17"/>
        <v>58.551000000000002</v>
      </c>
    </row>
    <row r="40" spans="1:46" x14ac:dyDescent="0.3">
      <c r="A40" s="55">
        <v>740</v>
      </c>
      <c r="B40" s="57">
        <v>2.2000000000000002</v>
      </c>
      <c r="C40" s="55">
        <v>360</v>
      </c>
      <c r="D40" s="55">
        <v>1.6</v>
      </c>
      <c r="E40" s="57">
        <v>0.73</v>
      </c>
      <c r="F40" s="55">
        <v>70</v>
      </c>
      <c r="G40" s="55">
        <v>144.26</v>
      </c>
      <c r="H40" s="55">
        <v>24.611000000000001</v>
      </c>
      <c r="I40" s="55">
        <v>8.9175999999999995E-3</v>
      </c>
      <c r="J40" s="55">
        <v>300</v>
      </c>
      <c r="K40" s="57">
        <v>87.123999999999995</v>
      </c>
      <c r="L40" s="53">
        <v>77.734999999999999</v>
      </c>
      <c r="M40" s="60">
        <f t="shared" si="0"/>
        <v>9.3889999999999958</v>
      </c>
      <c r="N40" s="54">
        <f t="shared" si="2"/>
        <v>1</v>
      </c>
      <c r="P40" s="6"/>
      <c r="R40" s="6"/>
      <c r="T40" s="6"/>
      <c r="V40" s="6"/>
      <c r="X40" s="6"/>
      <c r="Z40" s="6"/>
      <c r="AB40" s="8"/>
      <c r="AD40" s="55">
        <f t="shared" si="3"/>
        <v>0.98275862068965514</v>
      </c>
      <c r="AE40" s="57">
        <f t="shared" si="4"/>
        <v>8.6419753086419762E-2</v>
      </c>
      <c r="AF40" s="55">
        <f t="shared" si="5"/>
        <v>0.78091106290672452</v>
      </c>
      <c r="AG40" s="55">
        <f t="shared" si="6"/>
        <v>0.10852713178294575</v>
      </c>
      <c r="AH40" s="57">
        <f t="shared" si="7"/>
        <v>0.17537313432835822</v>
      </c>
      <c r="AI40" s="55">
        <f t="shared" si="8"/>
        <v>0.68762278978389002</v>
      </c>
      <c r="AJ40" s="55">
        <f t="shared" si="9"/>
        <v>0.50750452079566</v>
      </c>
      <c r="AK40" s="55">
        <f t="shared" si="10"/>
        <v>0.26018333333333332</v>
      </c>
      <c r="AL40" s="55">
        <f t="shared" si="11"/>
        <v>1</v>
      </c>
      <c r="AM40" s="55">
        <f t="shared" si="12"/>
        <v>0.75</v>
      </c>
      <c r="AN40" s="57">
        <f t="shared" si="13"/>
        <v>0.26932022796158245</v>
      </c>
      <c r="AO40" s="53">
        <f t="shared" si="14"/>
        <v>0.63095508904198627</v>
      </c>
      <c r="AP40" s="57">
        <f t="shared" si="15"/>
        <v>3.1438583576790642E-2</v>
      </c>
      <c r="AQ40" s="54">
        <f t="shared" si="18"/>
        <v>1</v>
      </c>
      <c r="AS40" s="61" t="str">
        <f t="shared" si="16"/>
        <v/>
      </c>
      <c r="AT40" s="61">
        <f t="shared" si="17"/>
        <v>77.734999999999999</v>
      </c>
    </row>
    <row r="41" spans="1:46" x14ac:dyDescent="0.3">
      <c r="A41" s="55">
        <v>715</v>
      </c>
      <c r="B41" s="57">
        <v>5</v>
      </c>
      <c r="C41" s="55">
        <v>399</v>
      </c>
      <c r="D41" s="55">
        <v>2</v>
      </c>
      <c r="E41" s="57">
        <v>0.7</v>
      </c>
      <c r="F41" s="55">
        <v>70</v>
      </c>
      <c r="G41" s="55">
        <v>137.43</v>
      </c>
      <c r="H41" s="55">
        <v>28.684999999999999</v>
      </c>
      <c r="I41" s="55">
        <v>3.0201E-3</v>
      </c>
      <c r="J41" s="55">
        <v>334</v>
      </c>
      <c r="K41" s="57">
        <v>100.764</v>
      </c>
      <c r="L41" s="53">
        <v>90.384</v>
      </c>
      <c r="M41" s="60">
        <f t="shared" si="0"/>
        <v>10.379999999999995</v>
      </c>
      <c r="N41" s="54">
        <f t="shared" si="2"/>
        <v>1</v>
      </c>
      <c r="P41" s="6"/>
      <c r="R41" s="6"/>
      <c r="T41" s="6"/>
      <c r="V41" s="6"/>
      <c r="X41" s="6"/>
      <c r="Z41" s="6"/>
      <c r="AB41" s="8"/>
      <c r="AD41" s="55">
        <f t="shared" si="3"/>
        <v>0.93965517241379315</v>
      </c>
      <c r="AE41" s="57">
        <f t="shared" si="4"/>
        <v>0.2592592592592593</v>
      </c>
      <c r="AF41" s="55">
        <f t="shared" si="5"/>
        <v>0.86550976138828628</v>
      </c>
      <c r="AG41" s="55">
        <f t="shared" si="6"/>
        <v>0.13953488372093023</v>
      </c>
      <c r="AH41" s="57">
        <f t="shared" si="7"/>
        <v>0.16417910447761194</v>
      </c>
      <c r="AI41" s="55">
        <f t="shared" si="8"/>
        <v>0.68762278978389002</v>
      </c>
      <c r="AJ41" s="55">
        <f t="shared" si="9"/>
        <v>0.4766274864376131</v>
      </c>
      <c r="AK41" s="55">
        <f t="shared" si="10"/>
        <v>0.32808333333333334</v>
      </c>
      <c r="AL41" s="55">
        <f t="shared" si="11"/>
        <v>0.29096133500048094</v>
      </c>
      <c r="AM41" s="55">
        <f t="shared" si="12"/>
        <v>0.83499999999999996</v>
      </c>
      <c r="AN41" s="57">
        <f t="shared" si="13"/>
        <v>0.3164608584156739</v>
      </c>
      <c r="AO41" s="53">
        <f t="shared" si="14"/>
        <v>0.73371896529312364</v>
      </c>
      <c r="AP41" s="57">
        <f t="shared" si="15"/>
        <v>3.5238051421254003E-2</v>
      </c>
      <c r="AQ41" s="54">
        <f t="shared" si="18"/>
        <v>1</v>
      </c>
      <c r="AS41" s="61" t="str">
        <f t="shared" si="16"/>
        <v/>
      </c>
      <c r="AT41" s="61">
        <f t="shared" si="17"/>
        <v>90.384</v>
      </c>
    </row>
    <row r="42" spans="1:46" x14ac:dyDescent="0.3">
      <c r="A42" s="55">
        <v>680</v>
      </c>
      <c r="B42" s="57">
        <v>5</v>
      </c>
      <c r="C42" s="55">
        <v>312</v>
      </c>
      <c r="D42" s="55">
        <v>1.4</v>
      </c>
      <c r="E42" s="57">
        <v>0.83899999999999997</v>
      </c>
      <c r="F42" s="55">
        <v>73.3</v>
      </c>
      <c r="G42" s="55">
        <v>197.8</v>
      </c>
      <c r="H42" s="55">
        <v>29.8</v>
      </c>
      <c r="I42" s="55">
        <v>5.0000000000000001E-3</v>
      </c>
      <c r="J42" s="55">
        <v>247</v>
      </c>
      <c r="K42" s="57">
        <v>59.029000000000003</v>
      </c>
      <c r="L42" s="53">
        <v>54.008000000000003</v>
      </c>
      <c r="M42" s="60">
        <f t="shared" si="0"/>
        <v>5.0210000000000008</v>
      </c>
      <c r="N42" s="54">
        <f t="shared" si="2"/>
        <v>1</v>
      </c>
      <c r="P42" s="6"/>
      <c r="R42" s="6"/>
      <c r="T42" s="6"/>
      <c r="V42" s="6"/>
      <c r="X42" s="6"/>
      <c r="Z42" s="6"/>
      <c r="AB42" s="8"/>
      <c r="AD42" s="55">
        <f t="shared" si="3"/>
        <v>0.87931034482758619</v>
      </c>
      <c r="AE42" s="57">
        <f t="shared" si="4"/>
        <v>0.2592592592592593</v>
      </c>
      <c r="AF42" s="55">
        <f t="shared" si="5"/>
        <v>0.67678958785249455</v>
      </c>
      <c r="AG42" s="55">
        <f t="shared" si="6"/>
        <v>9.3023255813953487E-2</v>
      </c>
      <c r="AH42" s="57">
        <f t="shared" si="7"/>
        <v>0.21604477611940298</v>
      </c>
      <c r="AI42" s="55">
        <f t="shared" si="8"/>
        <v>0.72003929273084477</v>
      </c>
      <c r="AJ42" s="55">
        <f t="shared" si="9"/>
        <v>0.74954792043399643</v>
      </c>
      <c r="AK42" s="55">
        <f t="shared" si="10"/>
        <v>0.34666666666666668</v>
      </c>
      <c r="AL42" s="55">
        <f t="shared" si="11"/>
        <v>0.52899874963931914</v>
      </c>
      <c r="AM42" s="55">
        <f t="shared" si="12"/>
        <v>0.61750000000000005</v>
      </c>
      <c r="AN42" s="57">
        <f t="shared" si="13"/>
        <v>0.17222227982318811</v>
      </c>
      <c r="AO42" s="53">
        <f t="shared" si="14"/>
        <v>0.4381905628493436</v>
      </c>
      <c r="AP42" s="57">
        <f t="shared" si="15"/>
        <v>1.4691786861739248E-2</v>
      </c>
      <c r="AQ42" s="54">
        <f t="shared" si="18"/>
        <v>1</v>
      </c>
      <c r="AS42" s="61" t="str">
        <f t="shared" si="16"/>
        <v/>
      </c>
      <c r="AT42" s="61">
        <f t="shared" si="17"/>
        <v>54.008000000000003</v>
      </c>
    </row>
    <row r="43" spans="1:46" x14ac:dyDescent="0.3">
      <c r="A43" s="55">
        <v>690</v>
      </c>
      <c r="B43" s="57">
        <v>5</v>
      </c>
      <c r="C43" s="55">
        <v>280</v>
      </c>
      <c r="D43" s="55">
        <v>1.3</v>
      </c>
      <c r="E43" s="57">
        <v>0.73</v>
      </c>
      <c r="F43" s="55">
        <v>72.8</v>
      </c>
      <c r="G43" s="55">
        <v>201.4</v>
      </c>
      <c r="H43" s="55">
        <v>28.3</v>
      </c>
      <c r="I43" s="55">
        <v>5.0000000000000001E-3</v>
      </c>
      <c r="J43" s="55">
        <v>215</v>
      </c>
      <c r="K43" s="57">
        <v>90.481999999999999</v>
      </c>
      <c r="L43" s="53">
        <v>86.501000000000005</v>
      </c>
      <c r="M43" s="60">
        <f t="shared" si="0"/>
        <v>3.9809999999999945</v>
      </c>
      <c r="N43" s="54">
        <f t="shared" si="2"/>
        <v>1</v>
      </c>
      <c r="P43" s="6"/>
      <c r="R43" s="6"/>
      <c r="T43" s="6"/>
      <c r="V43" s="6"/>
      <c r="X43" s="6"/>
      <c r="Z43" s="6"/>
      <c r="AB43" s="8"/>
      <c r="AD43" s="55">
        <f t="shared" si="3"/>
        <v>0.89655172413793105</v>
      </c>
      <c r="AE43" s="57">
        <f t="shared" si="4"/>
        <v>0.2592592592592593</v>
      </c>
      <c r="AF43" s="55">
        <f t="shared" si="5"/>
        <v>0.6073752711496746</v>
      </c>
      <c r="AG43" s="55">
        <f t="shared" si="6"/>
        <v>8.5271317829457363E-2</v>
      </c>
      <c r="AH43" s="57">
        <f t="shared" si="7"/>
        <v>0.17537313432835822</v>
      </c>
      <c r="AI43" s="55">
        <f t="shared" si="8"/>
        <v>0.71512770137524562</v>
      </c>
      <c r="AJ43" s="55">
        <f t="shared" si="9"/>
        <v>0.76582278481012667</v>
      </c>
      <c r="AK43" s="55">
        <f t="shared" si="10"/>
        <v>0.32166666666666666</v>
      </c>
      <c r="AL43" s="55">
        <f t="shared" si="11"/>
        <v>0.52899874963931914</v>
      </c>
      <c r="AM43" s="55">
        <f t="shared" si="12"/>
        <v>0.53749999999999998</v>
      </c>
      <c r="AN43" s="57">
        <f t="shared" si="13"/>
        <v>0.28092567056164397</v>
      </c>
      <c r="AO43" s="53">
        <f t="shared" si="14"/>
        <v>0.70217242948134673</v>
      </c>
      <c r="AP43" s="57">
        <f t="shared" si="15"/>
        <v>1.0704454310536507E-2</v>
      </c>
      <c r="AQ43" s="54">
        <f t="shared" si="18"/>
        <v>1</v>
      </c>
      <c r="AS43" s="61" t="str">
        <f t="shared" si="16"/>
        <v/>
      </c>
      <c r="AT43" s="61">
        <f t="shared" si="17"/>
        <v>86.501000000000005</v>
      </c>
    </row>
    <row r="44" spans="1:46" x14ac:dyDescent="0.3">
      <c r="A44" s="55">
        <v>675</v>
      </c>
      <c r="B44" s="57">
        <v>3.7</v>
      </c>
      <c r="C44" s="55">
        <v>375</v>
      </c>
      <c r="D44" s="55">
        <v>0.2</v>
      </c>
      <c r="E44" s="57">
        <v>0.83899999999999997</v>
      </c>
      <c r="F44" s="55">
        <v>65</v>
      </c>
      <c r="G44" s="55">
        <v>162.44999999999999</v>
      </c>
      <c r="H44" s="55">
        <v>32.231999999999999</v>
      </c>
      <c r="I44" s="55">
        <v>2.4127999999999997E-3</v>
      </c>
      <c r="J44" s="55">
        <v>310</v>
      </c>
      <c r="K44" s="57">
        <v>68.653000000000006</v>
      </c>
      <c r="L44" s="53">
        <v>59.954999999999998</v>
      </c>
      <c r="M44" s="60">
        <f t="shared" si="0"/>
        <v>8.6980000000000075</v>
      </c>
      <c r="N44" s="54">
        <f t="shared" si="2"/>
        <v>1</v>
      </c>
      <c r="P44" s="6"/>
      <c r="R44" s="6"/>
      <c r="T44" s="6"/>
      <c r="V44" s="6"/>
      <c r="X44" s="6"/>
      <c r="Z44" s="6"/>
      <c r="AB44" s="8"/>
      <c r="AD44" s="55">
        <f t="shared" si="3"/>
        <v>0.87068965517241381</v>
      </c>
      <c r="AE44" s="57">
        <f t="shared" si="4"/>
        <v>0.17901234567901236</v>
      </c>
      <c r="AF44" s="55">
        <f t="shared" si="5"/>
        <v>0.81344902386117135</v>
      </c>
      <c r="AG44" s="55">
        <f t="shared" si="6"/>
        <v>0</v>
      </c>
      <c r="AH44" s="57">
        <f t="shared" si="7"/>
        <v>0.21604477611940298</v>
      </c>
      <c r="AI44" s="55">
        <f t="shared" si="8"/>
        <v>0.63850687622789781</v>
      </c>
      <c r="AJ44" s="55">
        <f t="shared" si="9"/>
        <v>0.58973779385171787</v>
      </c>
      <c r="AK44" s="55">
        <f t="shared" si="10"/>
        <v>0.38719999999999999</v>
      </c>
      <c r="AL44" s="55">
        <f t="shared" si="11"/>
        <v>0.21794748485139942</v>
      </c>
      <c r="AM44" s="55">
        <f t="shared" si="12"/>
        <v>0.77500000000000002</v>
      </c>
      <c r="AN44" s="57">
        <f t="shared" si="13"/>
        <v>0.20548338154534176</v>
      </c>
      <c r="AO44" s="53">
        <f t="shared" si="14"/>
        <v>0.48650558949694528</v>
      </c>
      <c r="AP44" s="57">
        <f t="shared" si="15"/>
        <v>2.8789307814405037E-2</v>
      </c>
      <c r="AQ44" s="54">
        <f t="shared" si="18"/>
        <v>1</v>
      </c>
      <c r="AS44" s="61" t="str">
        <f t="shared" si="16"/>
        <v/>
      </c>
      <c r="AT44" s="61">
        <f t="shared" si="17"/>
        <v>59.954999999999998</v>
      </c>
    </row>
    <row r="45" spans="1:46" x14ac:dyDescent="0.3">
      <c r="A45" s="55">
        <v>675</v>
      </c>
      <c r="B45" s="57">
        <v>5.2</v>
      </c>
      <c r="C45" s="55">
        <v>305</v>
      </c>
      <c r="D45" s="55">
        <v>2.75</v>
      </c>
      <c r="E45" s="57">
        <v>0.7</v>
      </c>
      <c r="F45" s="55">
        <v>70</v>
      </c>
      <c r="G45" s="55">
        <v>167.06</v>
      </c>
      <c r="H45" s="55">
        <v>26.001000000000001</v>
      </c>
      <c r="I45" s="55">
        <v>3.6186E-3</v>
      </c>
      <c r="J45" s="55">
        <v>240</v>
      </c>
      <c r="K45" s="57">
        <v>116.339</v>
      </c>
      <c r="L45" s="53">
        <v>106.211</v>
      </c>
      <c r="M45" s="60">
        <f t="shared" si="0"/>
        <v>10.128</v>
      </c>
      <c r="N45" s="54">
        <f t="shared" si="2"/>
        <v>1</v>
      </c>
      <c r="P45" s="6"/>
      <c r="R45" s="6"/>
      <c r="T45" s="6"/>
      <c r="V45" s="6"/>
      <c r="X45" s="6"/>
      <c r="Z45" s="6"/>
      <c r="AB45" s="8"/>
      <c r="AD45" s="55">
        <f t="shared" si="3"/>
        <v>0.87068965517241381</v>
      </c>
      <c r="AE45" s="57">
        <f t="shared" si="4"/>
        <v>0.27160493827160498</v>
      </c>
      <c r="AF45" s="55">
        <f t="shared" si="5"/>
        <v>0.66160520607375273</v>
      </c>
      <c r="AG45" s="55">
        <f t="shared" si="6"/>
        <v>0.19767441860465115</v>
      </c>
      <c r="AH45" s="57">
        <f t="shared" si="7"/>
        <v>0.16417910447761194</v>
      </c>
      <c r="AI45" s="55">
        <f t="shared" si="8"/>
        <v>0.68762278978389002</v>
      </c>
      <c r="AJ45" s="55">
        <f t="shared" si="9"/>
        <v>0.61057866184448462</v>
      </c>
      <c r="AK45" s="55">
        <f t="shared" si="10"/>
        <v>0.28335000000000005</v>
      </c>
      <c r="AL45" s="55">
        <f t="shared" si="11"/>
        <v>0.3629171876502838</v>
      </c>
      <c r="AM45" s="55">
        <f t="shared" si="12"/>
        <v>0.6</v>
      </c>
      <c r="AN45" s="57">
        <f t="shared" si="13"/>
        <v>0.37028896100529812</v>
      </c>
      <c r="AO45" s="53">
        <f t="shared" si="14"/>
        <v>0.8623017678408943</v>
      </c>
      <c r="AP45" s="57">
        <f t="shared" si="15"/>
        <v>3.4271890072308749E-2</v>
      </c>
      <c r="AQ45" s="54">
        <f t="shared" si="18"/>
        <v>1</v>
      </c>
      <c r="AS45" s="61" t="str">
        <f t="shared" si="16"/>
        <v/>
      </c>
      <c r="AT45" s="61">
        <f t="shared" si="17"/>
        <v>106.211</v>
      </c>
    </row>
    <row r="46" spans="1:46" x14ac:dyDescent="0.3">
      <c r="A46" s="55">
        <v>700</v>
      </c>
      <c r="B46" s="57">
        <v>6.8</v>
      </c>
      <c r="C46" s="55">
        <v>345</v>
      </c>
      <c r="D46" s="55">
        <v>2.5</v>
      </c>
      <c r="E46" s="57">
        <v>0.85</v>
      </c>
      <c r="F46" s="55">
        <v>50</v>
      </c>
      <c r="G46" s="55">
        <v>136.15</v>
      </c>
      <c r="H46" s="55">
        <v>29.821999999999999</v>
      </c>
      <c r="I46" s="55">
        <v>3.4196000000000001E-3</v>
      </c>
      <c r="J46" s="55">
        <v>280</v>
      </c>
      <c r="K46" s="57">
        <v>95.710999999999999</v>
      </c>
      <c r="L46" s="53">
        <v>76.748000000000005</v>
      </c>
      <c r="M46" s="60">
        <f t="shared" si="0"/>
        <v>18.962999999999994</v>
      </c>
      <c r="N46" s="54">
        <f t="shared" si="2"/>
        <v>1</v>
      </c>
      <c r="P46" s="6"/>
      <c r="R46" s="6"/>
      <c r="T46" s="6"/>
      <c r="V46" s="6"/>
      <c r="X46" s="6"/>
      <c r="Z46" s="6"/>
      <c r="AB46" s="8"/>
      <c r="AD46" s="55">
        <f t="shared" si="3"/>
        <v>0.91379310344827591</v>
      </c>
      <c r="AE46" s="57">
        <f t="shared" si="4"/>
        <v>0.37037037037037041</v>
      </c>
      <c r="AF46" s="55">
        <f t="shared" si="5"/>
        <v>0.74837310195227769</v>
      </c>
      <c r="AG46" s="55">
        <f t="shared" si="6"/>
        <v>0.17829457364341084</v>
      </c>
      <c r="AH46" s="57">
        <f t="shared" si="7"/>
        <v>0.22014925373134331</v>
      </c>
      <c r="AI46" s="55">
        <f t="shared" si="8"/>
        <v>0.49115913555992141</v>
      </c>
      <c r="AJ46" s="55">
        <f t="shared" si="9"/>
        <v>0.47084086799276675</v>
      </c>
      <c r="AK46" s="55">
        <f t="shared" si="10"/>
        <v>0.3470333333333333</v>
      </c>
      <c r="AL46" s="55">
        <f t="shared" si="11"/>
        <v>0.33899201692796005</v>
      </c>
      <c r="AM46" s="55">
        <f t="shared" si="12"/>
        <v>0.7</v>
      </c>
      <c r="AN46" s="57">
        <f t="shared" si="13"/>
        <v>0.29899739758836275</v>
      </c>
      <c r="AO46" s="53">
        <f t="shared" si="14"/>
        <v>0.62293643572078516</v>
      </c>
      <c r="AP46" s="57">
        <f t="shared" si="15"/>
        <v>6.8145046889497199E-2</v>
      </c>
      <c r="AQ46" s="54">
        <f t="shared" si="18"/>
        <v>1</v>
      </c>
      <c r="AS46" s="61" t="str">
        <f t="shared" si="16"/>
        <v/>
      </c>
      <c r="AT46" s="61">
        <f t="shared" si="17"/>
        <v>76.748000000000005</v>
      </c>
    </row>
    <row r="47" spans="1:46" x14ac:dyDescent="0.3">
      <c r="A47" s="55">
        <v>700</v>
      </c>
      <c r="B47" s="57">
        <v>4.5999999999999996</v>
      </c>
      <c r="C47" s="55">
        <v>350</v>
      </c>
      <c r="D47" s="55">
        <v>2</v>
      </c>
      <c r="E47" s="57">
        <v>0.83899999999999997</v>
      </c>
      <c r="F47" s="55">
        <v>71.8</v>
      </c>
      <c r="G47" s="55">
        <v>171.1</v>
      </c>
      <c r="H47" s="55">
        <v>37.6</v>
      </c>
      <c r="I47" s="55">
        <v>4.4000000000000003E-3</v>
      </c>
      <c r="J47" s="55">
        <v>200</v>
      </c>
      <c r="K47" s="57">
        <v>105.89700000000001</v>
      </c>
      <c r="L47" s="53">
        <v>99.986999999999995</v>
      </c>
      <c r="M47" s="60">
        <f t="shared" si="0"/>
        <v>5.9100000000000108</v>
      </c>
      <c r="N47" s="54">
        <f t="shared" si="2"/>
        <v>1</v>
      </c>
      <c r="P47" s="6"/>
      <c r="R47" s="6"/>
      <c r="T47" s="6"/>
      <c r="V47" s="6"/>
      <c r="X47" s="6"/>
      <c r="Z47" s="6"/>
      <c r="AB47" s="8"/>
      <c r="AD47" s="55">
        <f t="shared" si="3"/>
        <v>0.91379310344827591</v>
      </c>
      <c r="AE47" s="57">
        <f t="shared" si="4"/>
        <v>0.23456790123456789</v>
      </c>
      <c r="AF47" s="55">
        <f t="shared" si="5"/>
        <v>0.75921908893709322</v>
      </c>
      <c r="AG47" s="55">
        <f t="shared" si="6"/>
        <v>0.13953488372093023</v>
      </c>
      <c r="AH47" s="57">
        <f t="shared" si="7"/>
        <v>0.21604477611940298</v>
      </c>
      <c r="AI47" s="55">
        <f t="shared" si="8"/>
        <v>0.7053045186640472</v>
      </c>
      <c r="AJ47" s="55">
        <f t="shared" si="9"/>
        <v>0.62884267631103075</v>
      </c>
      <c r="AK47" s="55">
        <f t="shared" si="10"/>
        <v>0.47666666666666668</v>
      </c>
      <c r="AL47" s="55">
        <f t="shared" si="11"/>
        <v>0.45686255650668467</v>
      </c>
      <c r="AM47" s="55">
        <f t="shared" si="12"/>
        <v>0.5</v>
      </c>
      <c r="AN47" s="57">
        <f t="shared" si="13"/>
        <v>0.33420080387907947</v>
      </c>
      <c r="AO47" s="53">
        <f t="shared" si="14"/>
        <v>0.81173631873131413</v>
      </c>
      <c r="AP47" s="57">
        <f t="shared" si="15"/>
        <v>1.8100189398296225E-2</v>
      </c>
      <c r="AQ47" s="54">
        <f t="shared" si="18"/>
        <v>1</v>
      </c>
      <c r="AS47" s="61" t="str">
        <f t="shared" si="16"/>
        <v/>
      </c>
      <c r="AT47" s="61">
        <f t="shared" si="17"/>
        <v>99.986999999999995</v>
      </c>
    </row>
    <row r="48" spans="1:46" x14ac:dyDescent="0.3">
      <c r="A48" s="55">
        <v>720</v>
      </c>
      <c r="B48" s="57">
        <v>7.8</v>
      </c>
      <c r="C48" s="55">
        <v>375</v>
      </c>
      <c r="D48" s="55">
        <v>1.5</v>
      </c>
      <c r="E48" s="57">
        <v>0.83899999999999997</v>
      </c>
      <c r="F48" s="55">
        <v>70</v>
      </c>
      <c r="G48" s="55">
        <v>132.86000000000001</v>
      </c>
      <c r="H48" s="55">
        <v>32.109000000000002</v>
      </c>
      <c r="I48" s="55">
        <v>3.8E-3</v>
      </c>
      <c r="J48" s="55">
        <v>310</v>
      </c>
      <c r="K48" s="57">
        <v>129.25399999999999</v>
      </c>
      <c r="L48" s="53">
        <v>123.16</v>
      </c>
      <c r="M48" s="60">
        <f t="shared" si="0"/>
        <v>6.0939999999999941</v>
      </c>
      <c r="N48" s="54">
        <f t="shared" si="2"/>
        <v>1</v>
      </c>
      <c r="P48" s="6"/>
      <c r="R48" s="6"/>
      <c r="T48" s="6"/>
      <c r="V48" s="6"/>
      <c r="X48" s="6"/>
      <c r="Z48" s="6"/>
      <c r="AB48" s="8"/>
      <c r="AD48" s="55">
        <f t="shared" si="3"/>
        <v>0.94827586206896552</v>
      </c>
      <c r="AE48" s="57">
        <f t="shared" si="4"/>
        <v>0.4320987654320988</v>
      </c>
      <c r="AF48" s="55">
        <f t="shared" si="5"/>
        <v>0.81344902386117135</v>
      </c>
      <c r="AG48" s="55">
        <f t="shared" si="6"/>
        <v>0.10077519379844961</v>
      </c>
      <c r="AH48" s="57">
        <f t="shared" si="7"/>
        <v>0.21604477611940298</v>
      </c>
      <c r="AI48" s="55">
        <f t="shared" si="8"/>
        <v>0.68762278978389002</v>
      </c>
      <c r="AJ48" s="55">
        <f t="shared" si="9"/>
        <v>0.4559674502712478</v>
      </c>
      <c r="AK48" s="55">
        <f t="shared" si="10"/>
        <v>0.38515000000000005</v>
      </c>
      <c r="AL48" s="55">
        <f t="shared" si="11"/>
        <v>0.38472636337405025</v>
      </c>
      <c r="AM48" s="55">
        <f t="shared" si="12"/>
        <v>0.77500000000000002</v>
      </c>
      <c r="AN48" s="57">
        <f t="shared" si="13"/>
        <v>0.41492394944478428</v>
      </c>
      <c r="AO48" s="53">
        <f t="shared" si="14"/>
        <v>1</v>
      </c>
      <c r="AP48" s="57">
        <f t="shared" si="15"/>
        <v>1.8805640541970488E-2</v>
      </c>
      <c r="AQ48" s="54">
        <f t="shared" si="18"/>
        <v>1</v>
      </c>
      <c r="AS48" s="61" t="str">
        <f t="shared" si="16"/>
        <v/>
      </c>
      <c r="AT48" s="61">
        <f t="shared" si="17"/>
        <v>123.16</v>
      </c>
    </row>
    <row r="49" spans="1:46" x14ac:dyDescent="0.3">
      <c r="A49" s="55">
        <v>665</v>
      </c>
      <c r="B49" s="57">
        <v>5</v>
      </c>
      <c r="C49" s="55">
        <v>395</v>
      </c>
      <c r="D49" s="55">
        <v>0.7</v>
      </c>
      <c r="E49" s="57">
        <v>0.65600000000000003</v>
      </c>
      <c r="F49" s="55">
        <v>38.299999999999997</v>
      </c>
      <c r="G49" s="55">
        <v>158</v>
      </c>
      <c r="H49" s="55">
        <v>23</v>
      </c>
      <c r="I49" s="55">
        <v>6.2137163349725699E-3</v>
      </c>
      <c r="J49" s="55">
        <v>330</v>
      </c>
      <c r="K49" s="57">
        <v>110.789</v>
      </c>
      <c r="L49" s="53">
        <v>103.512</v>
      </c>
      <c r="M49" s="60">
        <f t="shared" si="0"/>
        <v>7.277000000000001</v>
      </c>
      <c r="N49" s="54">
        <f t="shared" si="2"/>
        <v>1</v>
      </c>
      <c r="P49" s="6"/>
      <c r="R49" s="6"/>
      <c r="T49" s="6"/>
      <c r="V49" s="6"/>
      <c r="X49" s="6"/>
      <c r="Z49" s="6"/>
      <c r="AB49" s="8"/>
      <c r="AD49" s="55">
        <f t="shared" si="3"/>
        <v>0.85344827586206895</v>
      </c>
      <c r="AE49" s="57">
        <f t="shared" si="4"/>
        <v>0.2592592592592593</v>
      </c>
      <c r="AF49" s="55">
        <f t="shared" si="5"/>
        <v>0.85683297180043383</v>
      </c>
      <c r="AG49" s="55">
        <f t="shared" si="6"/>
        <v>3.8759689922480613E-2</v>
      </c>
      <c r="AH49" s="57">
        <f t="shared" si="7"/>
        <v>0.14776119402985077</v>
      </c>
      <c r="AI49" s="55">
        <f t="shared" si="8"/>
        <v>0.37622789783889976</v>
      </c>
      <c r="AJ49" s="55">
        <f t="shared" si="9"/>
        <v>0.569620253164557</v>
      </c>
      <c r="AK49" s="55">
        <f t="shared" si="10"/>
        <v>0.23333333333333334</v>
      </c>
      <c r="AL49" s="55">
        <f t="shared" si="11"/>
        <v>0.67492020955234322</v>
      </c>
      <c r="AM49" s="55">
        <f t="shared" si="12"/>
        <v>0.82499999999999996</v>
      </c>
      <c r="AN49" s="57">
        <f t="shared" si="13"/>
        <v>0.35110783937625067</v>
      </c>
      <c r="AO49" s="53">
        <f t="shared" si="14"/>
        <v>0.84037436630703244</v>
      </c>
      <c r="AP49" s="57">
        <f t="shared" si="15"/>
        <v>2.3341231318963606E-2</v>
      </c>
      <c r="AQ49" s="54">
        <f t="shared" si="18"/>
        <v>1</v>
      </c>
      <c r="AS49" s="61" t="str">
        <f t="shared" si="16"/>
        <v/>
      </c>
      <c r="AT49" s="61">
        <f t="shared" si="17"/>
        <v>103.512</v>
      </c>
    </row>
    <row r="50" spans="1:46" x14ac:dyDescent="0.3">
      <c r="A50" s="55">
        <v>690</v>
      </c>
      <c r="B50" s="57">
        <v>5.0999999999999996</v>
      </c>
      <c r="C50" s="55">
        <v>245</v>
      </c>
      <c r="D50" s="55">
        <v>0.8</v>
      </c>
      <c r="E50" s="57">
        <v>0.73</v>
      </c>
      <c r="F50" s="55">
        <v>69.8</v>
      </c>
      <c r="G50" s="55">
        <v>133.19999999999999</v>
      </c>
      <c r="H50" s="55">
        <v>41.59</v>
      </c>
      <c r="I50" s="55">
        <v>4.13E-3</v>
      </c>
      <c r="J50" s="55">
        <v>185</v>
      </c>
      <c r="K50" s="57">
        <v>130.50800000000001</v>
      </c>
      <c r="L50" s="53">
        <v>89.025999999999996</v>
      </c>
      <c r="M50" s="60">
        <f t="shared" si="0"/>
        <v>41.482000000000014</v>
      </c>
      <c r="N50" s="54">
        <f t="shared" si="2"/>
        <v>1</v>
      </c>
      <c r="P50" s="6"/>
      <c r="R50" s="6"/>
      <c r="T50" s="6"/>
      <c r="V50" s="6"/>
      <c r="X50" s="6"/>
      <c r="Z50" s="6"/>
      <c r="AB50" s="8"/>
      <c r="AD50" s="55">
        <f t="shared" si="3"/>
        <v>0.89655172413793105</v>
      </c>
      <c r="AE50" s="57">
        <f t="shared" si="4"/>
        <v>0.26543209876543211</v>
      </c>
      <c r="AF50" s="55">
        <f t="shared" si="5"/>
        <v>0.53145336225596529</v>
      </c>
      <c r="AG50" s="55">
        <f t="shared" si="6"/>
        <v>4.651162790697675E-2</v>
      </c>
      <c r="AH50" s="57">
        <f t="shared" si="7"/>
        <v>0.17537313432835822</v>
      </c>
      <c r="AI50" s="55">
        <f t="shared" si="8"/>
        <v>0.68565815324165025</v>
      </c>
      <c r="AJ50" s="55">
        <f t="shared" si="9"/>
        <v>0.45750452079566001</v>
      </c>
      <c r="AK50" s="55">
        <f t="shared" si="10"/>
        <v>0.54316666666666669</v>
      </c>
      <c r="AL50" s="55">
        <f t="shared" si="11"/>
        <v>0.4244012695969992</v>
      </c>
      <c r="AM50" s="55">
        <f t="shared" si="12"/>
        <v>0.46250000000000002</v>
      </c>
      <c r="AN50" s="57">
        <f t="shared" si="13"/>
        <v>0.41925784611556371</v>
      </c>
      <c r="AO50" s="53">
        <f t="shared" si="14"/>
        <v>0.72268620824125829</v>
      </c>
      <c r="AP50" s="57">
        <f t="shared" si="15"/>
        <v>0.15448229854385689</v>
      </c>
      <c r="AQ50" s="54">
        <f t="shared" si="18"/>
        <v>1</v>
      </c>
      <c r="AS50" s="61" t="str">
        <f t="shared" si="16"/>
        <v/>
      </c>
      <c r="AT50" s="61">
        <f t="shared" si="17"/>
        <v>89.025999999999996</v>
      </c>
    </row>
    <row r="51" spans="1:46" x14ac:dyDescent="0.3">
      <c r="A51" s="55">
        <v>700</v>
      </c>
      <c r="B51" s="57">
        <v>5.5</v>
      </c>
      <c r="C51" s="55">
        <v>380</v>
      </c>
      <c r="D51" s="55">
        <v>0.7</v>
      </c>
      <c r="E51" s="57">
        <v>0.65600000000000003</v>
      </c>
      <c r="F51" s="55">
        <v>39.26</v>
      </c>
      <c r="G51" s="55">
        <v>136</v>
      </c>
      <c r="H51" s="55">
        <v>28</v>
      </c>
      <c r="I51" s="55">
        <v>5.888896159131061E-3</v>
      </c>
      <c r="J51" s="55">
        <v>230</v>
      </c>
      <c r="K51" s="57">
        <v>104.977</v>
      </c>
      <c r="L51" s="53">
        <v>86.552999999999997</v>
      </c>
      <c r="M51" s="60">
        <f t="shared" si="0"/>
        <v>18.424000000000007</v>
      </c>
      <c r="N51" s="54">
        <f t="shared" si="2"/>
        <v>1</v>
      </c>
      <c r="P51" s="6"/>
      <c r="R51" s="6"/>
      <c r="T51" s="6"/>
      <c r="V51" s="6"/>
      <c r="X51" s="6"/>
      <c r="Z51" s="6"/>
      <c r="AB51" s="8"/>
      <c r="AD51" s="55">
        <f t="shared" si="3"/>
        <v>0.91379310344827591</v>
      </c>
      <c r="AE51" s="57">
        <f t="shared" si="4"/>
        <v>0.29012345679012347</v>
      </c>
      <c r="AF51" s="55">
        <f t="shared" si="5"/>
        <v>0.824295010845987</v>
      </c>
      <c r="AG51" s="55">
        <f t="shared" si="6"/>
        <v>3.8759689922480613E-2</v>
      </c>
      <c r="AH51" s="57">
        <f t="shared" si="7"/>
        <v>0.14776119402985077</v>
      </c>
      <c r="AI51" s="55">
        <f t="shared" si="8"/>
        <v>0.38565815324165026</v>
      </c>
      <c r="AJ51" s="55">
        <f t="shared" si="9"/>
        <v>0.47016274864376134</v>
      </c>
      <c r="AK51" s="55">
        <f t="shared" si="10"/>
        <v>0.31666666666666665</v>
      </c>
      <c r="AL51" s="55">
        <f t="shared" si="11"/>
        <v>0.63586805798921098</v>
      </c>
      <c r="AM51" s="55">
        <f t="shared" si="12"/>
        <v>0.57499999999999996</v>
      </c>
      <c r="AN51" s="57">
        <f t="shared" si="13"/>
        <v>0.33102123056399413</v>
      </c>
      <c r="AO51" s="53">
        <f t="shared" si="14"/>
        <v>0.70259489145976861</v>
      </c>
      <c r="AP51" s="57">
        <f t="shared" si="15"/>
        <v>6.6078535115364295E-2</v>
      </c>
      <c r="AQ51" s="54">
        <f t="shared" si="18"/>
        <v>1</v>
      </c>
      <c r="AS51" s="61" t="str">
        <f t="shared" si="16"/>
        <v/>
      </c>
      <c r="AT51" s="61">
        <f t="shared" si="17"/>
        <v>86.552999999999997</v>
      </c>
    </row>
    <row r="52" spans="1:46" x14ac:dyDescent="0.3">
      <c r="A52" s="55">
        <v>700</v>
      </c>
      <c r="B52" s="57">
        <v>4.5</v>
      </c>
      <c r="C52" s="55">
        <v>330</v>
      </c>
      <c r="D52" s="55">
        <v>0.6</v>
      </c>
      <c r="E52" s="57">
        <v>0.69299999999999995</v>
      </c>
      <c r="F52" s="55">
        <v>69.8</v>
      </c>
      <c r="G52" s="55">
        <v>159</v>
      </c>
      <c r="H52" s="55">
        <v>43</v>
      </c>
      <c r="I52" s="55">
        <v>3.4846674631620863E-3</v>
      </c>
      <c r="J52" s="55">
        <v>180</v>
      </c>
      <c r="K52" s="57">
        <v>125.167</v>
      </c>
      <c r="L52" s="53">
        <v>111.577</v>
      </c>
      <c r="M52" s="60">
        <f t="shared" si="0"/>
        <v>13.590000000000003</v>
      </c>
      <c r="N52" s="54">
        <f t="shared" si="2"/>
        <v>1</v>
      </c>
      <c r="P52" s="6"/>
      <c r="R52" s="6"/>
      <c r="T52" s="6"/>
      <c r="V52" s="6"/>
      <c r="X52" s="6"/>
      <c r="Z52" s="6"/>
      <c r="AB52" s="8"/>
      <c r="AD52" s="55">
        <f t="shared" si="3"/>
        <v>0.91379310344827591</v>
      </c>
      <c r="AE52" s="57">
        <f t="shared" si="4"/>
        <v>0.22839506172839508</v>
      </c>
      <c r="AF52" s="55">
        <f t="shared" si="5"/>
        <v>0.71583514099783085</v>
      </c>
      <c r="AG52" s="55">
        <f t="shared" si="6"/>
        <v>3.1007751937984492E-2</v>
      </c>
      <c r="AH52" s="57">
        <f t="shared" si="7"/>
        <v>0.16156716417910447</v>
      </c>
      <c r="AI52" s="55">
        <f t="shared" si="8"/>
        <v>0.68565815324165025</v>
      </c>
      <c r="AJ52" s="55">
        <f t="shared" si="9"/>
        <v>0.57414104882459316</v>
      </c>
      <c r="AK52" s="55">
        <f t="shared" si="10"/>
        <v>0.56666666666666665</v>
      </c>
      <c r="AL52" s="55">
        <f t="shared" si="11"/>
        <v>0.34681488207681138</v>
      </c>
      <c r="AM52" s="55">
        <f t="shared" si="12"/>
        <v>0.45</v>
      </c>
      <c r="AN52" s="57">
        <f t="shared" si="13"/>
        <v>0.40079904059831278</v>
      </c>
      <c r="AO52" s="53">
        <f t="shared" si="14"/>
        <v>0.90589659430651237</v>
      </c>
      <c r="AP52" s="57">
        <f t="shared" si="15"/>
        <v>4.7545106699485501E-2</v>
      </c>
      <c r="AQ52" s="54">
        <f t="shared" si="18"/>
        <v>1</v>
      </c>
      <c r="AS52" s="61" t="str">
        <f t="shared" si="16"/>
        <v/>
      </c>
      <c r="AT52" s="61">
        <f t="shared" si="17"/>
        <v>111.577</v>
      </c>
    </row>
    <row r="53" spans="1:46" x14ac:dyDescent="0.3">
      <c r="A53" s="55">
        <v>238</v>
      </c>
      <c r="B53" s="57">
        <v>2.1</v>
      </c>
      <c r="C53" s="55">
        <v>360</v>
      </c>
      <c r="D53" s="55">
        <v>1.4</v>
      </c>
      <c r="E53" s="57">
        <v>0.73</v>
      </c>
      <c r="F53" s="55">
        <v>50</v>
      </c>
      <c r="G53" s="55">
        <v>96.650999999999996</v>
      </c>
      <c r="H53" s="55">
        <v>65.162999999999997</v>
      </c>
      <c r="I53" s="55">
        <v>2.8573000000000001E-3</v>
      </c>
      <c r="J53" s="55">
        <v>250</v>
      </c>
      <c r="K53" s="57">
        <v>22.963000000000001</v>
      </c>
      <c r="L53" s="53">
        <v>17.145</v>
      </c>
      <c r="M53" s="60">
        <f t="shared" si="0"/>
        <v>5.8180000000000014</v>
      </c>
      <c r="N53" s="54">
        <f t="shared" si="2"/>
        <v>0</v>
      </c>
      <c r="P53" s="6"/>
      <c r="R53" s="6"/>
      <c r="T53" s="6"/>
      <c r="V53" s="6"/>
      <c r="X53" s="6"/>
      <c r="Z53" s="6"/>
      <c r="AB53" s="8"/>
      <c r="AD53" s="55">
        <f t="shared" si="3"/>
        <v>0.11724137931034483</v>
      </c>
      <c r="AE53" s="57">
        <f t="shared" si="4"/>
        <v>8.0246913580246923E-2</v>
      </c>
      <c r="AF53" s="55">
        <f t="shared" si="5"/>
        <v>0.78091106290672452</v>
      </c>
      <c r="AG53" s="55">
        <f t="shared" si="6"/>
        <v>9.3023255813953487E-2</v>
      </c>
      <c r="AH53" s="57">
        <f t="shared" si="7"/>
        <v>0.17537313432835822</v>
      </c>
      <c r="AI53" s="55">
        <f t="shared" si="8"/>
        <v>0.49115913555992141</v>
      </c>
      <c r="AJ53" s="55">
        <f t="shared" si="9"/>
        <v>0.2922739602169982</v>
      </c>
      <c r="AK53" s="55">
        <f t="shared" si="10"/>
        <v>0.93604999999999994</v>
      </c>
      <c r="AL53" s="55">
        <f t="shared" si="11"/>
        <v>0.27138838126382614</v>
      </c>
      <c r="AM53" s="55">
        <f t="shared" si="12"/>
        <v>0.625</v>
      </c>
      <c r="AN53" s="57">
        <f t="shared" si="13"/>
        <v>4.7576093755940109E-2</v>
      </c>
      <c r="AO53" s="53">
        <f t="shared" si="14"/>
        <v>0.13870564149226572</v>
      </c>
      <c r="AP53" s="57">
        <f t="shared" si="15"/>
        <v>1.7747463826459028E-2</v>
      </c>
      <c r="AQ53" s="54">
        <f t="shared" si="18"/>
        <v>0</v>
      </c>
      <c r="AS53" s="61">
        <f t="shared" si="16"/>
        <v>17.145</v>
      </c>
      <c r="AT53" s="61" t="str">
        <f t="shared" si="17"/>
        <v/>
      </c>
    </row>
    <row r="54" spans="1:46" x14ac:dyDescent="0.3">
      <c r="A54" s="55">
        <v>697</v>
      </c>
      <c r="B54" s="57">
        <v>4.5</v>
      </c>
      <c r="C54" s="55">
        <v>375</v>
      </c>
      <c r="D54" s="55">
        <v>2.5</v>
      </c>
      <c r="E54" s="57">
        <v>0.73</v>
      </c>
      <c r="F54" s="55">
        <v>65</v>
      </c>
      <c r="G54" s="55">
        <v>148.22</v>
      </c>
      <c r="H54" s="55">
        <v>37.909999999999997</v>
      </c>
      <c r="I54" s="55">
        <v>3.6501000000000003E-3</v>
      </c>
      <c r="J54" s="55">
        <v>310</v>
      </c>
      <c r="K54" s="57">
        <v>48.031999999999996</v>
      </c>
      <c r="L54" s="53">
        <v>42.406999999999996</v>
      </c>
      <c r="M54" s="60">
        <f t="shared" si="0"/>
        <v>5.625</v>
      </c>
      <c r="N54" s="54">
        <f t="shared" si="2"/>
        <v>1</v>
      </c>
      <c r="P54" s="6"/>
      <c r="R54" s="6"/>
      <c r="T54" s="6"/>
      <c r="V54" s="6"/>
      <c r="X54" s="6"/>
      <c r="Z54" s="6"/>
      <c r="AB54" s="8"/>
      <c r="AD54" s="55">
        <f t="shared" si="3"/>
        <v>0.9086206896551724</v>
      </c>
      <c r="AE54" s="57">
        <f t="shared" si="4"/>
        <v>0.22839506172839508</v>
      </c>
      <c r="AF54" s="55">
        <f t="shared" si="5"/>
        <v>0.81344902386117135</v>
      </c>
      <c r="AG54" s="55">
        <f t="shared" si="6"/>
        <v>0.17829457364341084</v>
      </c>
      <c r="AH54" s="57">
        <f t="shared" si="7"/>
        <v>0.17537313432835822</v>
      </c>
      <c r="AI54" s="55">
        <f t="shared" si="8"/>
        <v>0.63850687622789781</v>
      </c>
      <c r="AJ54" s="55">
        <f t="shared" si="9"/>
        <v>0.52540687160940325</v>
      </c>
      <c r="AK54" s="55">
        <f t="shared" si="10"/>
        <v>0.48183333333333328</v>
      </c>
      <c r="AL54" s="55">
        <f t="shared" si="11"/>
        <v>0.36670433778974709</v>
      </c>
      <c r="AM54" s="55">
        <f t="shared" si="12"/>
        <v>0.77500000000000002</v>
      </c>
      <c r="AN54" s="57">
        <f t="shared" si="13"/>
        <v>0.13421601053406462</v>
      </c>
      <c r="AO54" s="53">
        <f t="shared" si="14"/>
        <v>0.34394092031717144</v>
      </c>
      <c r="AP54" s="57">
        <f t="shared" si="15"/>
        <v>1.7007506920322362E-2</v>
      </c>
      <c r="AQ54" s="54">
        <f t="shared" si="18"/>
        <v>1</v>
      </c>
      <c r="AS54" s="61" t="str">
        <f t="shared" si="16"/>
        <v/>
      </c>
      <c r="AT54" s="61">
        <f t="shared" si="17"/>
        <v>42.406999999999996</v>
      </c>
    </row>
    <row r="55" spans="1:46" x14ac:dyDescent="0.3">
      <c r="A55" s="55">
        <v>721</v>
      </c>
      <c r="B55" s="57">
        <v>7.8</v>
      </c>
      <c r="C55" s="55">
        <v>380</v>
      </c>
      <c r="D55" s="55">
        <v>2</v>
      </c>
      <c r="E55" s="57">
        <v>0.83899999999999997</v>
      </c>
      <c r="F55" s="55">
        <v>62.6</v>
      </c>
      <c r="G55" s="55">
        <v>121.2</v>
      </c>
      <c r="H55" s="55">
        <v>41.7</v>
      </c>
      <c r="I55" s="55">
        <v>3.5000000000000001E-3</v>
      </c>
      <c r="J55" s="55">
        <v>315</v>
      </c>
      <c r="K55" s="57">
        <v>75.227999999999994</v>
      </c>
      <c r="L55" s="53">
        <v>65.206000000000003</v>
      </c>
      <c r="M55" s="60">
        <f t="shared" si="0"/>
        <v>10.021999999999991</v>
      </c>
      <c r="N55" s="54">
        <f t="shared" si="2"/>
        <v>1</v>
      </c>
      <c r="P55" s="6"/>
      <c r="R55" s="6"/>
      <c r="T55" s="6"/>
      <c r="V55" s="6"/>
      <c r="X55" s="6"/>
      <c r="Z55" s="6"/>
      <c r="AB55" s="8"/>
      <c r="AD55" s="55">
        <f t="shared" si="3"/>
        <v>0.95</v>
      </c>
      <c r="AE55" s="57">
        <f t="shared" si="4"/>
        <v>0.4320987654320988</v>
      </c>
      <c r="AF55" s="55">
        <f t="shared" si="5"/>
        <v>0.824295010845987</v>
      </c>
      <c r="AG55" s="55">
        <f t="shared" si="6"/>
        <v>0.13953488372093023</v>
      </c>
      <c r="AH55" s="57">
        <f t="shared" si="7"/>
        <v>0.21604477611940298</v>
      </c>
      <c r="AI55" s="55">
        <f t="shared" si="8"/>
        <v>0.61493123772102165</v>
      </c>
      <c r="AJ55" s="55">
        <f t="shared" si="9"/>
        <v>0.40325497287522605</v>
      </c>
      <c r="AK55" s="55">
        <f t="shared" si="10"/>
        <v>0.54500000000000004</v>
      </c>
      <c r="AL55" s="55">
        <f t="shared" si="11"/>
        <v>0.34865826680773304</v>
      </c>
      <c r="AM55" s="55">
        <f t="shared" si="12"/>
        <v>0.78749999999999998</v>
      </c>
      <c r="AN55" s="57">
        <f t="shared" si="13"/>
        <v>0.22820696257434844</v>
      </c>
      <c r="AO55" s="53">
        <f t="shared" si="14"/>
        <v>0.52916612504874561</v>
      </c>
      <c r="AP55" s="57">
        <f t="shared" si="15"/>
        <v>3.3865488869974592E-2</v>
      </c>
      <c r="AQ55" s="54">
        <f t="shared" si="18"/>
        <v>1</v>
      </c>
      <c r="AS55" s="61" t="str">
        <f t="shared" si="16"/>
        <v/>
      </c>
      <c r="AT55" s="61">
        <f t="shared" si="17"/>
        <v>65.206000000000003</v>
      </c>
    </row>
    <row r="56" spans="1:46" x14ac:dyDescent="0.3">
      <c r="A56" s="55">
        <v>260</v>
      </c>
      <c r="B56" s="57">
        <v>1.6</v>
      </c>
      <c r="C56" s="55">
        <v>370</v>
      </c>
      <c r="D56" s="55">
        <v>1.7</v>
      </c>
      <c r="E56" s="57">
        <v>0.73</v>
      </c>
      <c r="F56" s="55">
        <v>50</v>
      </c>
      <c r="G56" s="55">
        <v>124.98</v>
      </c>
      <c r="H56" s="55">
        <v>39.345999999999997</v>
      </c>
      <c r="I56" s="55">
        <v>3.1849000000000001E-3</v>
      </c>
      <c r="J56" s="55">
        <v>270</v>
      </c>
      <c r="K56" s="57">
        <v>36.194000000000003</v>
      </c>
      <c r="L56" s="53">
        <v>27.024999999999999</v>
      </c>
      <c r="M56" s="60">
        <f t="shared" si="0"/>
        <v>9.169000000000004</v>
      </c>
      <c r="N56" s="54">
        <f t="shared" si="2"/>
        <v>0</v>
      </c>
      <c r="P56" s="6"/>
      <c r="R56" s="6"/>
      <c r="T56" s="6"/>
      <c r="V56" s="6"/>
      <c r="X56" s="6"/>
      <c r="Z56" s="6"/>
      <c r="AB56" s="8"/>
      <c r="AD56" s="55">
        <f t="shared" si="3"/>
        <v>0.15517241379310345</v>
      </c>
      <c r="AE56" s="57">
        <f t="shared" si="4"/>
        <v>4.938271604938272E-2</v>
      </c>
      <c r="AF56" s="55">
        <f t="shared" si="5"/>
        <v>0.8026030368763557</v>
      </c>
      <c r="AG56" s="55">
        <f t="shared" si="6"/>
        <v>0.11627906976744186</v>
      </c>
      <c r="AH56" s="57">
        <f t="shared" si="7"/>
        <v>0.17537313432835822</v>
      </c>
      <c r="AI56" s="55">
        <f t="shared" si="8"/>
        <v>0.49115913555992141</v>
      </c>
      <c r="AJ56" s="55">
        <f t="shared" si="9"/>
        <v>0.42034358047016279</v>
      </c>
      <c r="AK56" s="55">
        <f t="shared" si="10"/>
        <v>0.50576666666666659</v>
      </c>
      <c r="AL56" s="55">
        <f t="shared" si="11"/>
        <v>0.31077474271424455</v>
      </c>
      <c r="AM56" s="55">
        <f t="shared" si="12"/>
        <v>0.67500000000000004</v>
      </c>
      <c r="AN56" s="57">
        <f t="shared" si="13"/>
        <v>9.3303196507999064E-2</v>
      </c>
      <c r="AO56" s="53">
        <f t="shared" si="14"/>
        <v>0.2189734173924347</v>
      </c>
      <c r="AP56" s="57">
        <f t="shared" si="15"/>
        <v>3.0595109383267025E-2</v>
      </c>
      <c r="AQ56" s="54">
        <f t="shared" si="18"/>
        <v>0</v>
      </c>
      <c r="AS56" s="61">
        <f t="shared" si="16"/>
        <v>27.024999999999999</v>
      </c>
      <c r="AT56" s="61" t="str">
        <f t="shared" si="17"/>
        <v/>
      </c>
    </row>
    <row r="57" spans="1:46" x14ac:dyDescent="0.3">
      <c r="A57" s="55">
        <v>698</v>
      </c>
      <c r="B57" s="57">
        <v>3</v>
      </c>
      <c r="C57" s="55">
        <v>440</v>
      </c>
      <c r="D57" s="55">
        <v>0.6</v>
      </c>
      <c r="E57" s="57">
        <v>0.28999999999999998</v>
      </c>
      <c r="F57" s="55">
        <v>89.82</v>
      </c>
      <c r="G57" s="55">
        <v>168</v>
      </c>
      <c r="H57" s="55">
        <v>57</v>
      </c>
      <c r="I57" s="55">
        <v>2.6106934001670842E-3</v>
      </c>
      <c r="J57" s="55">
        <v>345</v>
      </c>
      <c r="K57" s="57">
        <v>102.85599999999999</v>
      </c>
      <c r="L57" s="53">
        <v>56.247999999999998</v>
      </c>
      <c r="M57" s="60">
        <f t="shared" si="0"/>
        <v>46.607999999999997</v>
      </c>
      <c r="N57" s="54">
        <f t="shared" si="2"/>
        <v>1</v>
      </c>
      <c r="P57" s="6"/>
      <c r="R57" s="6"/>
      <c r="T57" s="6"/>
      <c r="V57" s="6"/>
      <c r="X57" s="6"/>
      <c r="Z57" s="6"/>
      <c r="AB57" s="8"/>
      <c r="AD57" s="55">
        <f t="shared" si="3"/>
        <v>0.91034482758620694</v>
      </c>
      <c r="AE57" s="57">
        <f t="shared" si="4"/>
        <v>0.13580246913580249</v>
      </c>
      <c r="AF57" s="55">
        <f t="shared" si="5"/>
        <v>0.95444685466377444</v>
      </c>
      <c r="AG57" s="55">
        <f t="shared" si="6"/>
        <v>3.1007751937984492E-2</v>
      </c>
      <c r="AH57" s="57">
        <f t="shared" si="7"/>
        <v>1.1194029850746259E-2</v>
      </c>
      <c r="AI57" s="55">
        <f t="shared" si="8"/>
        <v>0.88231827111984273</v>
      </c>
      <c r="AJ57" s="55">
        <f t="shared" si="9"/>
        <v>0.6148282097649187</v>
      </c>
      <c r="AK57" s="55">
        <f t="shared" si="10"/>
        <v>0.8</v>
      </c>
      <c r="AL57" s="55">
        <f t="shared" si="11"/>
        <v>0.24173961240827696</v>
      </c>
      <c r="AM57" s="55">
        <f t="shared" si="12"/>
        <v>0.86250000000000004</v>
      </c>
      <c r="AN57" s="57">
        <f t="shared" si="13"/>
        <v>0.32369093164954188</v>
      </c>
      <c r="AO57" s="53">
        <f t="shared" si="14"/>
        <v>0.45638892499675027</v>
      </c>
      <c r="AP57" s="57">
        <f t="shared" si="15"/>
        <v>0.17413524725295793</v>
      </c>
      <c r="AQ57" s="54">
        <f t="shared" si="18"/>
        <v>1</v>
      </c>
      <c r="AS57" s="61" t="str">
        <f t="shared" si="16"/>
        <v/>
      </c>
      <c r="AT57" s="61">
        <f t="shared" si="17"/>
        <v>56.247999999999998</v>
      </c>
    </row>
    <row r="58" spans="1:46" x14ac:dyDescent="0.3">
      <c r="A58" s="55">
        <v>737</v>
      </c>
      <c r="B58" s="57">
        <v>4</v>
      </c>
      <c r="C58" s="55">
        <v>440</v>
      </c>
      <c r="D58" s="55">
        <v>1.1000000000000001</v>
      </c>
      <c r="E58" s="57">
        <v>0.84</v>
      </c>
      <c r="F58" s="55">
        <v>89.82</v>
      </c>
      <c r="G58" s="55">
        <v>171</v>
      </c>
      <c r="H58" s="55">
        <v>41</v>
      </c>
      <c r="I58" s="55">
        <v>4.1409582177315838E-3</v>
      </c>
      <c r="J58" s="55">
        <v>345</v>
      </c>
      <c r="K58" s="57">
        <v>97.5</v>
      </c>
      <c r="L58" s="53">
        <v>42.67</v>
      </c>
      <c r="M58" s="60">
        <f t="shared" si="0"/>
        <v>54.83</v>
      </c>
      <c r="N58" s="54">
        <f t="shared" si="2"/>
        <v>1</v>
      </c>
      <c r="P58" s="6"/>
      <c r="R58" s="6"/>
      <c r="T58" s="6"/>
      <c r="V58" s="6"/>
      <c r="X58" s="6"/>
      <c r="Z58" s="6"/>
      <c r="AB58" s="8"/>
      <c r="AD58" s="55">
        <f t="shared" si="3"/>
        <v>0.97758620689655173</v>
      </c>
      <c r="AE58" s="57">
        <f t="shared" si="4"/>
        <v>0.19753086419753088</v>
      </c>
      <c r="AF58" s="55">
        <f t="shared" si="5"/>
        <v>0.95444685466377444</v>
      </c>
      <c r="AG58" s="55">
        <f t="shared" si="6"/>
        <v>6.9767441860465129E-2</v>
      </c>
      <c r="AH58" s="57">
        <f t="shared" si="7"/>
        <v>0.21641791044776121</v>
      </c>
      <c r="AI58" s="55">
        <f t="shared" si="8"/>
        <v>0.88231827111984273</v>
      </c>
      <c r="AJ58" s="55">
        <f t="shared" si="9"/>
        <v>0.62839059674502717</v>
      </c>
      <c r="AK58" s="55">
        <f t="shared" si="10"/>
        <v>0.53333333333333333</v>
      </c>
      <c r="AL58" s="55">
        <f t="shared" si="11"/>
        <v>0.4257187431147908</v>
      </c>
      <c r="AM58" s="55">
        <f t="shared" si="12"/>
        <v>0.86250000000000004</v>
      </c>
      <c r="AN58" s="57">
        <f t="shared" si="13"/>
        <v>0.30518028526302332</v>
      </c>
      <c r="AO58" s="53">
        <f t="shared" si="14"/>
        <v>0.3460776030157286</v>
      </c>
      <c r="AP58" s="57">
        <f t="shared" si="15"/>
        <v>0.20565817824910096</v>
      </c>
      <c r="AQ58" s="54">
        <f t="shared" si="18"/>
        <v>1</v>
      </c>
      <c r="AS58" s="61" t="str">
        <f t="shared" si="16"/>
        <v/>
      </c>
      <c r="AT58" s="61">
        <f t="shared" si="17"/>
        <v>42.67</v>
      </c>
    </row>
    <row r="59" spans="1:46" x14ac:dyDescent="0.3">
      <c r="A59" s="55">
        <v>700</v>
      </c>
      <c r="B59" s="57">
        <v>3</v>
      </c>
      <c r="C59" s="55">
        <v>440</v>
      </c>
      <c r="D59" s="55">
        <v>0.6</v>
      </c>
      <c r="E59" s="57">
        <v>0.28999999999999998</v>
      </c>
      <c r="F59" s="55">
        <v>90.2</v>
      </c>
      <c r="G59" s="55">
        <v>164</v>
      </c>
      <c r="H59" s="55">
        <v>59</v>
      </c>
      <c r="I59" s="55">
        <v>2.58371227780074E-3</v>
      </c>
      <c r="J59" s="55">
        <v>345</v>
      </c>
      <c r="K59" s="57">
        <v>50.673999999999999</v>
      </c>
      <c r="L59" s="53">
        <v>38.896000000000001</v>
      </c>
      <c r="M59" s="60">
        <f t="shared" si="0"/>
        <v>11.777999999999999</v>
      </c>
      <c r="N59" s="54">
        <f t="shared" si="2"/>
        <v>1</v>
      </c>
      <c r="P59" s="6"/>
      <c r="R59" s="6"/>
      <c r="T59" s="6"/>
      <c r="V59" s="6"/>
      <c r="X59" s="6"/>
      <c r="Z59" s="6"/>
      <c r="AB59" s="8"/>
      <c r="AD59" s="55">
        <f t="shared" si="3"/>
        <v>0.91379310344827591</v>
      </c>
      <c r="AE59" s="57">
        <f t="shared" si="4"/>
        <v>0.13580246913580249</v>
      </c>
      <c r="AF59" s="55">
        <f t="shared" si="5"/>
        <v>0.95444685466377444</v>
      </c>
      <c r="AG59" s="55">
        <f t="shared" si="6"/>
        <v>3.1007751937984492E-2</v>
      </c>
      <c r="AH59" s="57">
        <f t="shared" si="7"/>
        <v>1.1194029850746259E-2</v>
      </c>
      <c r="AI59" s="55">
        <f t="shared" si="8"/>
        <v>0.88605108055009829</v>
      </c>
      <c r="AJ59" s="55">
        <f t="shared" si="9"/>
        <v>0.59674502712477395</v>
      </c>
      <c r="AK59" s="55">
        <f t="shared" si="10"/>
        <v>0.83333333333333337</v>
      </c>
      <c r="AL59" s="55">
        <f t="shared" si="11"/>
        <v>0.23849575331835388</v>
      </c>
      <c r="AM59" s="55">
        <f t="shared" si="12"/>
        <v>0.86250000000000004</v>
      </c>
      <c r="AN59" s="57">
        <f t="shared" si="13"/>
        <v>0.14334691564108148</v>
      </c>
      <c r="AO59" s="53">
        <f t="shared" si="14"/>
        <v>0.31541661250487457</v>
      </c>
      <c r="AP59" s="57">
        <f t="shared" si="15"/>
        <v>4.0597946523736134E-2</v>
      </c>
      <c r="AQ59" s="54">
        <f t="shared" si="18"/>
        <v>1</v>
      </c>
      <c r="AS59" s="61" t="str">
        <f t="shared" si="16"/>
        <v/>
      </c>
      <c r="AT59" s="61">
        <f t="shared" si="17"/>
        <v>38.896000000000001</v>
      </c>
    </row>
    <row r="60" spans="1:46" x14ac:dyDescent="0.3">
      <c r="A60" s="55">
        <v>729</v>
      </c>
      <c r="B60" s="57">
        <v>4</v>
      </c>
      <c r="C60" s="55">
        <v>440</v>
      </c>
      <c r="D60" s="55">
        <v>1.2</v>
      </c>
      <c r="E60" s="57">
        <v>0.82199999999999995</v>
      </c>
      <c r="F60" s="55">
        <v>89.8</v>
      </c>
      <c r="G60" s="55">
        <v>205</v>
      </c>
      <c r="H60" s="55">
        <v>53</v>
      </c>
      <c r="I60" s="55">
        <v>2.6720900197437763E-3</v>
      </c>
      <c r="J60" s="55">
        <v>345</v>
      </c>
      <c r="K60" s="57">
        <v>65.064999999999998</v>
      </c>
      <c r="L60" s="53">
        <v>36.631</v>
      </c>
      <c r="M60" s="60">
        <f t="shared" si="0"/>
        <v>28.433999999999997</v>
      </c>
      <c r="N60" s="54">
        <f t="shared" si="2"/>
        <v>1</v>
      </c>
      <c r="P60" s="6"/>
      <c r="R60" s="6"/>
      <c r="T60" s="6"/>
      <c r="V60" s="6"/>
      <c r="X60" s="6"/>
      <c r="Z60" s="6"/>
      <c r="AB60" s="8"/>
      <c r="AD60" s="55">
        <f t="shared" si="3"/>
        <v>0.96379310344827585</v>
      </c>
      <c r="AE60" s="57">
        <f t="shared" si="4"/>
        <v>0.19753086419753088</v>
      </c>
      <c r="AF60" s="55">
        <f t="shared" si="5"/>
        <v>0.95444685466377444</v>
      </c>
      <c r="AG60" s="55">
        <f t="shared" si="6"/>
        <v>7.7519379844961239E-2</v>
      </c>
      <c r="AH60" s="57">
        <f t="shared" si="7"/>
        <v>0.20970149253731343</v>
      </c>
      <c r="AI60" s="55">
        <f t="shared" si="8"/>
        <v>0.88212180746561886</v>
      </c>
      <c r="AJ60" s="55">
        <f t="shared" si="9"/>
        <v>0.78209764918625679</v>
      </c>
      <c r="AK60" s="55">
        <f t="shared" si="10"/>
        <v>0.73333333333333328</v>
      </c>
      <c r="AL60" s="55">
        <f t="shared" si="11"/>
        <v>0.24912114308740219</v>
      </c>
      <c r="AM60" s="55">
        <f t="shared" si="12"/>
        <v>0.86250000000000004</v>
      </c>
      <c r="AN60" s="57">
        <f t="shared" si="13"/>
        <v>0.19308304561650888</v>
      </c>
      <c r="AO60" s="53">
        <f t="shared" si="14"/>
        <v>0.29701514363707265</v>
      </c>
      <c r="AP60" s="57">
        <f t="shared" si="15"/>
        <v>0.10445661092069043</v>
      </c>
      <c r="AQ60" s="54">
        <f t="shared" si="18"/>
        <v>1</v>
      </c>
      <c r="AS60" s="61" t="str">
        <f t="shared" si="16"/>
        <v/>
      </c>
      <c r="AT60" s="61">
        <f t="shared" si="17"/>
        <v>36.631</v>
      </c>
    </row>
    <row r="61" spans="1:46" x14ac:dyDescent="0.3">
      <c r="A61" s="55">
        <v>708</v>
      </c>
      <c r="B61" s="57">
        <v>3.5</v>
      </c>
      <c r="C61" s="55">
        <v>461</v>
      </c>
      <c r="D61" s="55">
        <v>0.34</v>
      </c>
      <c r="E61" s="57">
        <v>0.82199999999999995</v>
      </c>
      <c r="F61" s="55">
        <v>90</v>
      </c>
      <c r="G61" s="55">
        <v>136.44999999999999</v>
      </c>
      <c r="H61" s="55">
        <v>52.712000000000003</v>
      </c>
      <c r="I61" s="55">
        <v>3.7810000000000001E-3</v>
      </c>
      <c r="J61" s="55">
        <v>366</v>
      </c>
      <c r="K61" s="57">
        <v>61.997</v>
      </c>
      <c r="L61" s="53">
        <v>47.353999999999999</v>
      </c>
      <c r="M61" s="60">
        <f t="shared" si="0"/>
        <v>14.643000000000001</v>
      </c>
      <c r="N61" s="54">
        <f t="shared" si="2"/>
        <v>1</v>
      </c>
      <c r="P61" s="6"/>
      <c r="R61" s="6"/>
      <c r="T61" s="6"/>
      <c r="V61" s="6"/>
      <c r="X61" s="6"/>
      <c r="Z61" s="6"/>
      <c r="AB61" s="8"/>
      <c r="AD61" s="55">
        <f t="shared" si="3"/>
        <v>0.92758620689655169</v>
      </c>
      <c r="AE61" s="57">
        <f t="shared" si="4"/>
        <v>0.16666666666666669</v>
      </c>
      <c r="AF61" s="55">
        <f t="shared" si="5"/>
        <v>1</v>
      </c>
      <c r="AG61" s="55">
        <f t="shared" si="6"/>
        <v>1.0852713178294575E-2</v>
      </c>
      <c r="AH61" s="57">
        <f t="shared" si="7"/>
        <v>0.20970149253731343</v>
      </c>
      <c r="AI61" s="55">
        <f t="shared" si="8"/>
        <v>0.88408644400785852</v>
      </c>
      <c r="AJ61" s="55">
        <f t="shared" si="9"/>
        <v>0.47219710669077752</v>
      </c>
      <c r="AK61" s="55">
        <f t="shared" si="10"/>
        <v>0.72853333333333337</v>
      </c>
      <c r="AL61" s="55">
        <f t="shared" si="11"/>
        <v>0.38244205059151681</v>
      </c>
      <c r="AM61" s="55">
        <f t="shared" si="12"/>
        <v>0.91500000000000004</v>
      </c>
      <c r="AN61" s="57">
        <f t="shared" si="13"/>
        <v>0.18247985982228951</v>
      </c>
      <c r="AO61" s="53">
        <f t="shared" si="14"/>
        <v>0.38413167814896659</v>
      </c>
      <c r="AP61" s="57">
        <f t="shared" si="15"/>
        <v>5.1582280907578243E-2</v>
      </c>
      <c r="AQ61" s="54">
        <f t="shared" si="18"/>
        <v>1</v>
      </c>
      <c r="AS61" s="61" t="str">
        <f t="shared" si="16"/>
        <v/>
      </c>
      <c r="AT61" s="61">
        <f t="shared" si="17"/>
        <v>47.353999999999999</v>
      </c>
    </row>
    <row r="62" spans="1:46" x14ac:dyDescent="0.3">
      <c r="A62" s="55">
        <v>701</v>
      </c>
      <c r="B62" s="57">
        <v>3.5</v>
      </c>
      <c r="C62" s="55">
        <v>425</v>
      </c>
      <c r="D62" s="55">
        <v>0.34</v>
      </c>
      <c r="E62" s="57">
        <v>0.82199999999999995</v>
      </c>
      <c r="F62" s="55">
        <v>90</v>
      </c>
      <c r="G62" s="55">
        <v>154.80000000000001</v>
      </c>
      <c r="H62" s="55">
        <v>50.037999999999997</v>
      </c>
      <c r="I62" s="55">
        <v>3.3708999999999996E-3</v>
      </c>
      <c r="J62" s="55">
        <v>330</v>
      </c>
      <c r="K62" s="57">
        <v>40.567999999999998</v>
      </c>
      <c r="L62" s="53">
        <v>32.21</v>
      </c>
      <c r="M62" s="60">
        <f t="shared" si="0"/>
        <v>8.357999999999997</v>
      </c>
      <c r="N62" s="54">
        <f t="shared" si="2"/>
        <v>0</v>
      </c>
      <c r="P62" s="6"/>
      <c r="R62" s="6"/>
      <c r="T62" s="6"/>
      <c r="V62" s="6"/>
      <c r="X62" s="6"/>
      <c r="Z62" s="6"/>
      <c r="AB62" s="8"/>
      <c r="AD62" s="55">
        <f t="shared" si="3"/>
        <v>0.91551724137931034</v>
      </c>
      <c r="AE62" s="57">
        <f t="shared" si="4"/>
        <v>0.16666666666666669</v>
      </c>
      <c r="AF62" s="55">
        <f t="shared" si="5"/>
        <v>0.9219088937093276</v>
      </c>
      <c r="AG62" s="55">
        <f t="shared" si="6"/>
        <v>1.0852713178294575E-2</v>
      </c>
      <c r="AH62" s="57">
        <f t="shared" si="7"/>
        <v>0.20970149253731343</v>
      </c>
      <c r="AI62" s="55">
        <f t="shared" si="8"/>
        <v>0.88408644400785852</v>
      </c>
      <c r="AJ62" s="55">
        <f t="shared" si="9"/>
        <v>0.55515370705244127</v>
      </c>
      <c r="AK62" s="55">
        <f t="shared" si="10"/>
        <v>0.68396666666666661</v>
      </c>
      <c r="AL62" s="55">
        <f t="shared" si="11"/>
        <v>0.33313696258536113</v>
      </c>
      <c r="AM62" s="55">
        <f t="shared" si="12"/>
        <v>0.82499999999999996</v>
      </c>
      <c r="AN62" s="57">
        <f t="shared" si="13"/>
        <v>0.10841999398645917</v>
      </c>
      <c r="AO62" s="53">
        <f t="shared" si="14"/>
        <v>0.26109775120239176</v>
      </c>
      <c r="AP62" s="57">
        <f t="shared" si="15"/>
        <v>2.7485756788050264E-2</v>
      </c>
      <c r="AQ62" s="54">
        <f t="shared" si="18"/>
        <v>0</v>
      </c>
      <c r="AS62" s="61">
        <f t="shared" si="16"/>
        <v>32.21</v>
      </c>
      <c r="AT62" s="61" t="str">
        <f t="shared" si="17"/>
        <v/>
      </c>
    </row>
    <row r="63" spans="1:46" x14ac:dyDescent="0.3">
      <c r="A63" s="55">
        <v>750</v>
      </c>
      <c r="B63" s="57">
        <v>4</v>
      </c>
      <c r="C63" s="55">
        <v>450</v>
      </c>
      <c r="D63" s="55">
        <v>1.2</v>
      </c>
      <c r="E63" s="57">
        <v>0.82199999999999995</v>
      </c>
      <c r="F63" s="55">
        <v>89.8</v>
      </c>
      <c r="G63" s="55">
        <v>157</v>
      </c>
      <c r="H63" s="55">
        <v>37</v>
      </c>
      <c r="I63" s="55">
        <v>4.4424946828891757E-3</v>
      </c>
      <c r="J63" s="55">
        <v>400</v>
      </c>
      <c r="K63" s="57">
        <v>147.923</v>
      </c>
      <c r="L63" s="53">
        <v>88.028000000000006</v>
      </c>
      <c r="M63" s="60">
        <f t="shared" si="0"/>
        <v>59.894999999999996</v>
      </c>
      <c r="N63" s="54">
        <f t="shared" si="2"/>
        <v>1</v>
      </c>
      <c r="P63" s="6"/>
      <c r="R63" s="6"/>
      <c r="T63" s="6"/>
      <c r="V63" s="6"/>
      <c r="X63" s="6"/>
      <c r="Z63" s="6"/>
      <c r="AB63" s="8"/>
      <c r="AD63" s="55">
        <f t="shared" si="3"/>
        <v>1</v>
      </c>
      <c r="AE63" s="57">
        <f t="shared" si="4"/>
        <v>0.19753086419753088</v>
      </c>
      <c r="AF63" s="55">
        <f t="shared" si="5"/>
        <v>0.97613882863340562</v>
      </c>
      <c r="AG63" s="55">
        <f t="shared" si="6"/>
        <v>7.7519379844961239E-2</v>
      </c>
      <c r="AH63" s="57">
        <f t="shared" si="7"/>
        <v>0.20970149253731343</v>
      </c>
      <c r="AI63" s="55">
        <f t="shared" si="8"/>
        <v>0.88212180746561886</v>
      </c>
      <c r="AJ63" s="55">
        <f t="shared" si="9"/>
        <v>0.56509945750452084</v>
      </c>
      <c r="AK63" s="55">
        <f t="shared" si="10"/>
        <v>0.46666666666666667</v>
      </c>
      <c r="AL63" s="55">
        <f t="shared" si="11"/>
        <v>0.46197156426002406</v>
      </c>
      <c r="AM63" s="55">
        <f t="shared" si="12"/>
        <v>1</v>
      </c>
      <c r="AN63" s="57">
        <f t="shared" si="13"/>
        <v>0.47944509533535862</v>
      </c>
      <c r="AO63" s="53">
        <f t="shared" si="14"/>
        <v>0.71457818796308337</v>
      </c>
      <c r="AP63" s="57">
        <f t="shared" si="15"/>
        <v>0.22507725456817956</v>
      </c>
      <c r="AQ63" s="54">
        <f t="shared" si="18"/>
        <v>1</v>
      </c>
      <c r="AS63" s="61" t="str">
        <f t="shared" si="16"/>
        <v/>
      </c>
      <c r="AT63" s="61">
        <f t="shared" si="17"/>
        <v>88.028000000000006</v>
      </c>
    </row>
    <row r="64" spans="1:46" x14ac:dyDescent="0.3">
      <c r="A64" s="55">
        <v>715</v>
      </c>
      <c r="B64" s="57">
        <v>10.3</v>
      </c>
      <c r="C64" s="55">
        <v>461</v>
      </c>
      <c r="D64" s="55">
        <v>0.34</v>
      </c>
      <c r="E64" s="57">
        <v>0.82199999999999995</v>
      </c>
      <c r="F64" s="55">
        <v>50</v>
      </c>
      <c r="G64" s="55">
        <v>113.7</v>
      </c>
      <c r="H64" s="55">
        <v>43.2</v>
      </c>
      <c r="I64" s="55">
        <v>2.9500000000000004E-3</v>
      </c>
      <c r="J64" s="55">
        <v>231</v>
      </c>
      <c r="K64" s="57">
        <v>89.474999999999994</v>
      </c>
      <c r="L64" s="53">
        <v>65.408000000000001</v>
      </c>
      <c r="M64" s="60">
        <f t="shared" si="0"/>
        <v>24.066999999999993</v>
      </c>
      <c r="N64" s="54">
        <f t="shared" si="2"/>
        <v>1</v>
      </c>
      <c r="P64" s="6"/>
      <c r="R64" s="6"/>
      <c r="T64" s="6"/>
      <c r="V64" s="6"/>
      <c r="X64" s="6"/>
      <c r="Z64" s="6"/>
      <c r="AB64" s="8"/>
      <c r="AD64" s="55">
        <f t="shared" si="3"/>
        <v>0.93965517241379315</v>
      </c>
      <c r="AE64" s="57">
        <f t="shared" si="4"/>
        <v>0.5864197530864198</v>
      </c>
      <c r="AF64" s="55">
        <f t="shared" si="5"/>
        <v>1</v>
      </c>
      <c r="AG64" s="55">
        <f t="shared" si="6"/>
        <v>1.0852713178294575E-2</v>
      </c>
      <c r="AH64" s="57">
        <f t="shared" si="7"/>
        <v>0.20970149253731343</v>
      </c>
      <c r="AI64" s="55">
        <f t="shared" si="8"/>
        <v>0.49115913555992141</v>
      </c>
      <c r="AJ64" s="55">
        <f t="shared" si="9"/>
        <v>0.3693490054249548</v>
      </c>
      <c r="AK64" s="55">
        <f t="shared" si="10"/>
        <v>0.57000000000000006</v>
      </c>
      <c r="AL64" s="55">
        <f t="shared" si="11"/>
        <v>0.2825334231028182</v>
      </c>
      <c r="AM64" s="55">
        <f t="shared" si="12"/>
        <v>0.57750000000000001</v>
      </c>
      <c r="AN64" s="57">
        <f t="shared" si="13"/>
        <v>0.277445420204806</v>
      </c>
      <c r="AO64" s="53">
        <f t="shared" si="14"/>
        <v>0.53080722734953856</v>
      </c>
      <c r="AP64" s="57">
        <f t="shared" si="15"/>
        <v>8.7713648179245915E-2</v>
      </c>
      <c r="AQ64" s="54">
        <f t="shared" si="18"/>
        <v>1</v>
      </c>
      <c r="AS64" s="61" t="str">
        <f t="shared" si="16"/>
        <v/>
      </c>
      <c r="AT64" s="61">
        <f t="shared" si="17"/>
        <v>65.408000000000001</v>
      </c>
    </row>
    <row r="65" spans="1:46" x14ac:dyDescent="0.3">
      <c r="A65" s="55">
        <v>740</v>
      </c>
      <c r="B65" s="57">
        <v>17</v>
      </c>
      <c r="C65" s="55">
        <v>461</v>
      </c>
      <c r="D65" s="55">
        <v>0.34</v>
      </c>
      <c r="E65" s="57">
        <v>0.26</v>
      </c>
      <c r="F65" s="55">
        <v>91</v>
      </c>
      <c r="G65" s="55">
        <v>141.88999999999999</v>
      </c>
      <c r="H65" s="55">
        <v>58.3</v>
      </c>
      <c r="I65" s="55">
        <v>2.8E-3</v>
      </c>
      <c r="J65" s="55">
        <v>366</v>
      </c>
      <c r="K65" s="57">
        <v>105.896</v>
      </c>
      <c r="L65" s="53">
        <v>81.012</v>
      </c>
      <c r="M65" s="60">
        <f t="shared" si="0"/>
        <v>24.884</v>
      </c>
      <c r="N65" s="54">
        <f t="shared" si="2"/>
        <v>1</v>
      </c>
      <c r="P65" s="6"/>
      <c r="R65" s="6"/>
      <c r="T65" s="6"/>
      <c r="V65" s="6"/>
      <c r="X65" s="6"/>
      <c r="Z65" s="6"/>
      <c r="AB65" s="8"/>
      <c r="AD65" s="55">
        <f t="shared" si="3"/>
        <v>0.98275862068965514</v>
      </c>
      <c r="AE65" s="57">
        <f t="shared" si="4"/>
        <v>1</v>
      </c>
      <c r="AF65" s="55">
        <f t="shared" si="5"/>
        <v>1</v>
      </c>
      <c r="AG65" s="55">
        <f t="shared" si="6"/>
        <v>1.0852713178294575E-2</v>
      </c>
      <c r="AH65" s="57">
        <f t="shared" si="7"/>
        <v>0</v>
      </c>
      <c r="AI65" s="55">
        <f t="shared" si="8"/>
        <v>0.89390962671905705</v>
      </c>
      <c r="AJ65" s="55">
        <f t="shared" si="9"/>
        <v>0.49679023508137427</v>
      </c>
      <c r="AK65" s="55">
        <f t="shared" si="10"/>
        <v>0.82166666666666666</v>
      </c>
      <c r="AL65" s="55">
        <f t="shared" si="11"/>
        <v>0.26449937481965957</v>
      </c>
      <c r="AM65" s="55">
        <f t="shared" si="12"/>
        <v>0.91500000000000004</v>
      </c>
      <c r="AN65" s="57">
        <f t="shared" si="13"/>
        <v>0.33419734782112825</v>
      </c>
      <c r="AO65" s="53">
        <f t="shared" si="14"/>
        <v>0.65757831795138444</v>
      </c>
      <c r="AP65" s="57">
        <f t="shared" si="15"/>
        <v>9.0846004616104231E-2</v>
      </c>
      <c r="AQ65" s="54">
        <f t="shared" si="18"/>
        <v>1</v>
      </c>
      <c r="AS65" s="61" t="str">
        <f t="shared" si="16"/>
        <v/>
      </c>
      <c r="AT65" s="61">
        <f t="shared" si="17"/>
        <v>81.012</v>
      </c>
    </row>
    <row r="66" spans="1:46" x14ac:dyDescent="0.3">
      <c r="A66" s="55">
        <v>700</v>
      </c>
      <c r="B66" s="57">
        <v>17</v>
      </c>
      <c r="C66" s="55">
        <v>461</v>
      </c>
      <c r="D66" s="55">
        <v>0.34</v>
      </c>
      <c r="E66" s="57">
        <v>0.26</v>
      </c>
      <c r="F66" s="55">
        <v>90</v>
      </c>
      <c r="G66" s="55">
        <v>140</v>
      </c>
      <c r="H66" s="55">
        <v>68.900000000000006</v>
      </c>
      <c r="I66" s="55">
        <v>2.8999999999999998E-3</v>
      </c>
      <c r="J66" s="55">
        <v>366</v>
      </c>
      <c r="K66" s="57">
        <v>85.585999999999999</v>
      </c>
      <c r="L66" s="53">
        <v>57.953000000000003</v>
      </c>
      <c r="M66" s="60">
        <f t="shared" si="0"/>
        <v>27.632999999999996</v>
      </c>
      <c r="N66" s="54">
        <f t="shared" si="2"/>
        <v>1</v>
      </c>
      <c r="P66" s="6"/>
      <c r="R66" s="6"/>
      <c r="T66" s="6"/>
      <c r="V66" s="6"/>
      <c r="X66" s="6"/>
      <c r="Z66" s="6"/>
      <c r="AB66" s="8"/>
      <c r="AD66" s="55">
        <f t="shared" si="3"/>
        <v>0.91379310344827591</v>
      </c>
      <c r="AE66" s="57">
        <f t="shared" si="4"/>
        <v>1</v>
      </c>
      <c r="AF66" s="55">
        <f t="shared" si="5"/>
        <v>1</v>
      </c>
      <c r="AG66" s="55">
        <f t="shared" si="6"/>
        <v>1.0852713178294575E-2</v>
      </c>
      <c r="AH66" s="57">
        <f t="shared" si="7"/>
        <v>0</v>
      </c>
      <c r="AI66" s="55">
        <f t="shared" si="8"/>
        <v>0.88408644400785852</v>
      </c>
      <c r="AJ66" s="55">
        <f t="shared" si="9"/>
        <v>0.48824593128390598</v>
      </c>
      <c r="AK66" s="55">
        <f t="shared" si="10"/>
        <v>0.99833333333333341</v>
      </c>
      <c r="AL66" s="55">
        <f t="shared" si="11"/>
        <v>0.27652207367509857</v>
      </c>
      <c r="AM66" s="55">
        <f t="shared" si="12"/>
        <v>0.91500000000000004</v>
      </c>
      <c r="AN66" s="57">
        <f t="shared" si="13"/>
        <v>0.26400481083266802</v>
      </c>
      <c r="AO66" s="53">
        <f t="shared" si="14"/>
        <v>0.47024080332770052</v>
      </c>
      <c r="AP66" s="57">
        <f t="shared" si="15"/>
        <v>0.10138559806154294</v>
      </c>
      <c r="AQ66" s="54">
        <f t="shared" si="18"/>
        <v>1</v>
      </c>
      <c r="AS66" s="61" t="str">
        <f t="shared" si="16"/>
        <v/>
      </c>
      <c r="AT66" s="61">
        <f t="shared" si="17"/>
        <v>57.953000000000003</v>
      </c>
    </row>
    <row r="67" spans="1:46" x14ac:dyDescent="0.3">
      <c r="A67" s="55">
        <v>695</v>
      </c>
      <c r="B67" s="57">
        <v>4</v>
      </c>
      <c r="C67" s="55">
        <v>440</v>
      </c>
      <c r="D67" s="55">
        <v>1.1100000000000001</v>
      </c>
      <c r="E67" s="57">
        <v>0.82199999999999995</v>
      </c>
      <c r="F67" s="55">
        <v>49.3</v>
      </c>
      <c r="G67" s="55">
        <v>157</v>
      </c>
      <c r="H67" s="55">
        <v>37</v>
      </c>
      <c r="I67" s="55">
        <v>4.4424946828891757E-3</v>
      </c>
      <c r="J67" s="55">
        <v>390</v>
      </c>
      <c r="K67" s="57">
        <v>68.709000000000003</v>
      </c>
      <c r="L67" s="53">
        <v>27.946000000000002</v>
      </c>
      <c r="M67" s="60">
        <f t="shared" ref="M67:M130" si="19">K67-L67</f>
        <v>40.763000000000005</v>
      </c>
      <c r="N67" s="54">
        <f t="shared" si="2"/>
        <v>0</v>
      </c>
      <c r="P67" s="6"/>
      <c r="R67" s="6"/>
      <c r="T67" s="6"/>
      <c r="V67" s="6"/>
      <c r="X67" s="6"/>
      <c r="Z67" s="6"/>
      <c r="AB67" s="8"/>
      <c r="AD67" s="55">
        <f t="shared" si="3"/>
        <v>0.90517241379310343</v>
      </c>
      <c r="AE67" s="57">
        <f t="shared" si="4"/>
        <v>0.19753086419753088</v>
      </c>
      <c r="AF67" s="55">
        <f t="shared" si="5"/>
        <v>0.95444685466377444</v>
      </c>
      <c r="AG67" s="55">
        <f t="shared" si="6"/>
        <v>7.0542635658914735E-2</v>
      </c>
      <c r="AH67" s="57">
        <f t="shared" si="7"/>
        <v>0.20970149253731343</v>
      </c>
      <c r="AI67" s="55">
        <f t="shared" si="8"/>
        <v>0.48428290766208248</v>
      </c>
      <c r="AJ67" s="55">
        <f t="shared" si="9"/>
        <v>0.56509945750452084</v>
      </c>
      <c r="AK67" s="55">
        <f t="shared" si="10"/>
        <v>0.46666666666666667</v>
      </c>
      <c r="AL67" s="55">
        <f t="shared" si="11"/>
        <v>0.46197156426002406</v>
      </c>
      <c r="AM67" s="55">
        <f t="shared" si="12"/>
        <v>0.97499999999999998</v>
      </c>
      <c r="AN67" s="57">
        <f t="shared" si="13"/>
        <v>0.20567692079060784</v>
      </c>
      <c r="AO67" s="53">
        <f t="shared" si="14"/>
        <v>0.22645586897179257</v>
      </c>
      <c r="AP67" s="57">
        <f t="shared" si="15"/>
        <v>0.15172567152047731</v>
      </c>
      <c r="AQ67" s="54">
        <f t="shared" si="18"/>
        <v>0</v>
      </c>
      <c r="AS67" s="61">
        <f t="shared" si="16"/>
        <v>27.946000000000002</v>
      </c>
      <c r="AT67" s="61" t="str">
        <f t="shared" si="17"/>
        <v/>
      </c>
    </row>
    <row r="68" spans="1:46" x14ac:dyDescent="0.3">
      <c r="A68" s="55">
        <v>735</v>
      </c>
      <c r="B68" s="57">
        <v>3.8</v>
      </c>
      <c r="C68" s="55">
        <v>420</v>
      </c>
      <c r="D68" s="55">
        <v>1</v>
      </c>
      <c r="E68" s="57">
        <v>0.82199999999999995</v>
      </c>
      <c r="F68" s="55">
        <v>90.3</v>
      </c>
      <c r="G68" s="55">
        <v>148</v>
      </c>
      <c r="H68" s="55">
        <v>52</v>
      </c>
      <c r="I68" s="55">
        <v>3.7723828046408695E-3</v>
      </c>
      <c r="J68" s="55">
        <v>325</v>
      </c>
      <c r="K68" s="57">
        <v>82.754999999999995</v>
      </c>
      <c r="L68" s="53">
        <v>25.228000000000002</v>
      </c>
      <c r="M68" s="60">
        <f t="shared" si="19"/>
        <v>57.526999999999994</v>
      </c>
      <c r="N68" s="54">
        <f t="shared" ref="N68:N131" si="20">IF(L68&lt;$T$16,0,1)</f>
        <v>0</v>
      </c>
      <c r="P68" s="6"/>
      <c r="R68" s="6"/>
      <c r="T68" s="6"/>
      <c r="V68" s="6"/>
      <c r="X68" s="6"/>
      <c r="Z68" s="6"/>
      <c r="AB68" s="8"/>
      <c r="AD68" s="55">
        <f t="shared" ref="AD68:AD131" si="21">(A68-$R$2)/($S$2-$R$2)</f>
        <v>0.97413793103448276</v>
      </c>
      <c r="AE68" s="57">
        <f t="shared" ref="AE68:AE131" si="22">(B68-$R$4)/($S$4-$R$4)</f>
        <v>0.1851851851851852</v>
      </c>
      <c r="AF68" s="55">
        <f t="shared" ref="AF68:AF131" si="23">(C68-$R$5)/($S$5-$R$5)</f>
        <v>0.91106290672451196</v>
      </c>
      <c r="AG68" s="55">
        <f t="shared" ref="AG68:AG131" si="24">(D68-$R$6)/($S$6-$R$6)</f>
        <v>6.2015503875968991E-2</v>
      </c>
      <c r="AH68" s="57">
        <f t="shared" ref="AH68:AH131" si="25">(E68-$R$7)/($S$7-$R$7)</f>
        <v>0.20970149253731343</v>
      </c>
      <c r="AI68" s="55">
        <f t="shared" ref="AI68:AI131" si="26">(F68-$R$9)/($S$9-$R$9)</f>
        <v>0.88703339882121812</v>
      </c>
      <c r="AJ68" s="55">
        <f t="shared" ref="AJ68:AJ131" si="27">(G68-$R$10)/($S$10-$R$10)</f>
        <v>0.5244122965641953</v>
      </c>
      <c r="AK68" s="55">
        <f t="shared" ref="AK68:AK131" si="28">(H68-$R$11)/($S$11-$R$11)</f>
        <v>0.71666666666666667</v>
      </c>
      <c r="AL68" s="55">
        <f t="shared" ref="AL68:AL131" si="29">(I68-$R$12)/($S$12-$R$12)</f>
        <v>0.38140603114370369</v>
      </c>
      <c r="AM68" s="55">
        <f t="shared" ref="AM68:AM131" si="30">(J68-$R$14)/($S$14-$R$14)</f>
        <v>0.8125</v>
      </c>
      <c r="AN68" s="57">
        <f t="shared" ref="AN68:AN131" si="31">(K68-$R$15)/($S$15-$R$15)</f>
        <v>0.25422071077287822</v>
      </c>
      <c r="AO68" s="53">
        <f t="shared" ref="AO68:AO131" si="32">(L68-$R$16)/($S$16-$R$16)</f>
        <v>0.20437410633043029</v>
      </c>
      <c r="AP68" s="57">
        <f t="shared" ref="AP68:AP131" si="33">(M68-$R$17)/($S$17-$R$17)</f>
        <v>0.21599840506697954</v>
      </c>
      <c r="AQ68" s="54">
        <f t="shared" ref="AQ68:AQ131" si="34">IF(L68&lt;$T$16,0,1)</f>
        <v>0</v>
      </c>
      <c r="AS68" s="61">
        <f t="shared" ref="AS68:AS131" si="35">IF(L68&lt;$T$16,L68,"")</f>
        <v>25.228000000000002</v>
      </c>
      <c r="AT68" s="61" t="str">
        <f t="shared" ref="AT68:AT131" si="36">IF(L68&gt;$T$16,L68,"")</f>
        <v/>
      </c>
    </row>
    <row r="69" spans="1:46" x14ac:dyDescent="0.3">
      <c r="A69" s="55">
        <v>680</v>
      </c>
      <c r="B69" s="57">
        <v>3.5</v>
      </c>
      <c r="C69" s="55">
        <v>461</v>
      </c>
      <c r="D69" s="55">
        <v>0.34</v>
      </c>
      <c r="E69" s="57">
        <v>0.82199999999999995</v>
      </c>
      <c r="F69" s="55">
        <v>90</v>
      </c>
      <c r="G69" s="55">
        <v>69.875</v>
      </c>
      <c r="H69" s="55">
        <v>32.125999999999998</v>
      </c>
      <c r="I69" s="55">
        <v>2.5156000000000002E-3</v>
      </c>
      <c r="J69" s="55">
        <v>366</v>
      </c>
      <c r="K69" s="57">
        <v>64.591999999999999</v>
      </c>
      <c r="L69" s="53">
        <v>24.983000000000001</v>
      </c>
      <c r="M69" s="60">
        <f t="shared" si="19"/>
        <v>39.608999999999995</v>
      </c>
      <c r="N69" s="54">
        <f t="shared" si="20"/>
        <v>0</v>
      </c>
      <c r="P69" s="6"/>
      <c r="R69" s="6"/>
      <c r="T69" s="6"/>
      <c r="V69" s="6"/>
      <c r="X69" s="6"/>
      <c r="Z69" s="6"/>
      <c r="AB69" s="8"/>
      <c r="AD69" s="55">
        <f t="shared" si="21"/>
        <v>0.87931034482758619</v>
      </c>
      <c r="AE69" s="57">
        <f t="shared" si="22"/>
        <v>0.16666666666666669</v>
      </c>
      <c r="AF69" s="55">
        <f t="shared" si="23"/>
        <v>1</v>
      </c>
      <c r="AG69" s="55">
        <f t="shared" si="24"/>
        <v>1.0852713178294575E-2</v>
      </c>
      <c r="AH69" s="57">
        <f t="shared" si="25"/>
        <v>0.20970149253731343</v>
      </c>
      <c r="AI69" s="55">
        <f t="shared" si="26"/>
        <v>0.88408644400785852</v>
      </c>
      <c r="AJ69" s="55">
        <f t="shared" si="27"/>
        <v>0.17122513562386982</v>
      </c>
      <c r="AK69" s="55">
        <f t="shared" si="28"/>
        <v>0.38543333333333329</v>
      </c>
      <c r="AL69" s="55">
        <f t="shared" si="29"/>
        <v>0.23030681927479085</v>
      </c>
      <c r="AM69" s="55">
        <f t="shared" si="30"/>
        <v>0.91500000000000004</v>
      </c>
      <c r="AN69" s="57">
        <f t="shared" si="31"/>
        <v>0.1914483302056009</v>
      </c>
      <c r="AO69" s="53">
        <f t="shared" si="32"/>
        <v>0.20238366047055767</v>
      </c>
      <c r="AP69" s="57">
        <f t="shared" si="33"/>
        <v>0.14730126597808502</v>
      </c>
      <c r="AQ69" s="54">
        <f t="shared" si="34"/>
        <v>0</v>
      </c>
      <c r="AS69" s="61">
        <f t="shared" si="35"/>
        <v>24.983000000000001</v>
      </c>
      <c r="AT69" s="61" t="str">
        <f t="shared" si="36"/>
        <v/>
      </c>
    </row>
    <row r="70" spans="1:46" x14ac:dyDescent="0.3">
      <c r="A70" s="55">
        <v>714</v>
      </c>
      <c r="B70" s="57">
        <v>3.5</v>
      </c>
      <c r="C70" s="55">
        <v>461</v>
      </c>
      <c r="D70" s="55">
        <v>0.34</v>
      </c>
      <c r="E70" s="57">
        <v>0.82199999999999995</v>
      </c>
      <c r="F70" s="55">
        <v>90</v>
      </c>
      <c r="G70" s="55">
        <v>171.66</v>
      </c>
      <c r="H70" s="55">
        <v>43.283999999999999</v>
      </c>
      <c r="I70" s="55">
        <v>3.6604999999999997E-3</v>
      </c>
      <c r="J70" s="55">
        <v>366</v>
      </c>
      <c r="K70" s="57">
        <v>61.378</v>
      </c>
      <c r="L70" s="53">
        <v>24.321999999999999</v>
      </c>
      <c r="M70" s="60">
        <f t="shared" si="19"/>
        <v>37.055999999999997</v>
      </c>
      <c r="N70" s="54">
        <f t="shared" si="20"/>
        <v>0</v>
      </c>
      <c r="P70" s="6"/>
      <c r="R70" s="6"/>
      <c r="T70" s="6"/>
      <c r="V70" s="6"/>
      <c r="X70" s="6"/>
      <c r="Z70" s="6"/>
      <c r="AB70" s="8"/>
      <c r="AD70" s="55">
        <f t="shared" si="21"/>
        <v>0.93793103448275861</v>
      </c>
      <c r="AE70" s="57">
        <f t="shared" si="22"/>
        <v>0.16666666666666669</v>
      </c>
      <c r="AF70" s="55">
        <f t="shared" si="23"/>
        <v>1</v>
      </c>
      <c r="AG70" s="55">
        <f t="shared" si="24"/>
        <v>1.0852713178294575E-2</v>
      </c>
      <c r="AH70" s="57">
        <f t="shared" si="25"/>
        <v>0.20970149253731343</v>
      </c>
      <c r="AI70" s="55">
        <f t="shared" si="26"/>
        <v>0.88408644400785852</v>
      </c>
      <c r="AJ70" s="55">
        <f t="shared" si="27"/>
        <v>0.63137432188065101</v>
      </c>
      <c r="AK70" s="55">
        <f t="shared" si="28"/>
        <v>0.57140000000000002</v>
      </c>
      <c r="AL70" s="55">
        <f t="shared" si="29"/>
        <v>0.36795469847071272</v>
      </c>
      <c r="AM70" s="55">
        <f t="shared" si="30"/>
        <v>0.91500000000000004</v>
      </c>
      <c r="AN70" s="57">
        <f t="shared" si="31"/>
        <v>0.18034055995050927</v>
      </c>
      <c r="AO70" s="53">
        <f t="shared" si="32"/>
        <v>0.1970135187833095</v>
      </c>
      <c r="AP70" s="57">
        <f t="shared" si="33"/>
        <v>0.13751313135960372</v>
      </c>
      <c r="AQ70" s="54">
        <f t="shared" si="34"/>
        <v>0</v>
      </c>
      <c r="AS70" s="61">
        <f t="shared" si="35"/>
        <v>24.321999999999999</v>
      </c>
      <c r="AT70" s="61" t="str">
        <f t="shared" si="36"/>
        <v/>
      </c>
    </row>
    <row r="71" spans="1:46" x14ac:dyDescent="0.3">
      <c r="A71" s="55">
        <v>697</v>
      </c>
      <c r="B71" s="57">
        <v>3</v>
      </c>
      <c r="C71" s="55">
        <v>400</v>
      </c>
      <c r="D71" s="55">
        <v>0.6</v>
      </c>
      <c r="E71" s="57">
        <v>0.81399999999999995</v>
      </c>
      <c r="F71" s="55">
        <v>63.8</v>
      </c>
      <c r="G71" s="55">
        <v>142</v>
      </c>
      <c r="H71" s="55">
        <v>40</v>
      </c>
      <c r="I71" s="55">
        <v>3.5779191276692412E-3</v>
      </c>
      <c r="J71" s="55">
        <v>305</v>
      </c>
      <c r="K71" s="57">
        <v>73.492000000000004</v>
      </c>
      <c r="L71" s="53">
        <v>31.050999999999998</v>
      </c>
      <c r="M71" s="60">
        <f t="shared" si="19"/>
        <v>42.441000000000003</v>
      </c>
      <c r="N71" s="54">
        <f t="shared" si="20"/>
        <v>0</v>
      </c>
      <c r="P71" s="6"/>
      <c r="R71" s="6"/>
      <c r="T71" s="6"/>
      <c r="V71" s="6"/>
      <c r="X71" s="6"/>
      <c r="Z71" s="6"/>
      <c r="AB71" s="8"/>
      <c r="AD71" s="55">
        <f t="shared" si="21"/>
        <v>0.9086206896551724</v>
      </c>
      <c r="AE71" s="57">
        <f t="shared" si="22"/>
        <v>0.13580246913580249</v>
      </c>
      <c r="AF71" s="55">
        <f t="shared" si="23"/>
        <v>0.86767895878524948</v>
      </c>
      <c r="AG71" s="55">
        <f t="shared" si="24"/>
        <v>3.1007751937984492E-2</v>
      </c>
      <c r="AH71" s="57">
        <f t="shared" si="25"/>
        <v>0.20671641791044776</v>
      </c>
      <c r="AI71" s="55">
        <f t="shared" si="26"/>
        <v>0.62671905697445973</v>
      </c>
      <c r="AJ71" s="55">
        <f t="shared" si="27"/>
        <v>0.49728752260397835</v>
      </c>
      <c r="AK71" s="55">
        <f t="shared" si="28"/>
        <v>0.51666666666666672</v>
      </c>
      <c r="AL71" s="55">
        <f t="shared" si="29"/>
        <v>0.35802624887819101</v>
      </c>
      <c r="AM71" s="55">
        <f t="shared" si="30"/>
        <v>0.76249999999999996</v>
      </c>
      <c r="AN71" s="57">
        <f t="shared" si="31"/>
        <v>0.22220724597110048</v>
      </c>
      <c r="AO71" s="53">
        <f t="shared" si="32"/>
        <v>0.25168172364487196</v>
      </c>
      <c r="AP71" s="57">
        <f t="shared" si="33"/>
        <v>0.1581590792328986</v>
      </c>
      <c r="AQ71" s="54">
        <f t="shared" si="34"/>
        <v>0</v>
      </c>
      <c r="AS71" s="61">
        <f t="shared" si="35"/>
        <v>31.050999999999998</v>
      </c>
      <c r="AT71" s="61" t="str">
        <f t="shared" si="36"/>
        <v/>
      </c>
    </row>
    <row r="72" spans="1:46" x14ac:dyDescent="0.3">
      <c r="A72" s="55">
        <v>700</v>
      </c>
      <c r="B72" s="57">
        <v>17</v>
      </c>
      <c r="C72" s="55">
        <v>461</v>
      </c>
      <c r="D72" s="55">
        <v>0.34</v>
      </c>
      <c r="E72" s="57">
        <v>0.26</v>
      </c>
      <c r="F72" s="55">
        <v>92</v>
      </c>
      <c r="G72" s="55">
        <v>139.19999999999999</v>
      </c>
      <c r="H72" s="55">
        <v>69</v>
      </c>
      <c r="I72" s="55">
        <v>3.0000000000000001E-3</v>
      </c>
      <c r="J72" s="55">
        <v>366</v>
      </c>
      <c r="K72" s="57">
        <v>63.250999999999998</v>
      </c>
      <c r="L72" s="53">
        <v>41.552999999999997</v>
      </c>
      <c r="M72" s="60">
        <f t="shared" si="19"/>
        <v>21.698</v>
      </c>
      <c r="N72" s="54">
        <f t="shared" si="20"/>
        <v>1</v>
      </c>
      <c r="P72" s="6"/>
      <c r="R72" s="6"/>
      <c r="T72" s="6"/>
      <c r="V72" s="6"/>
      <c r="X72" s="6"/>
      <c r="Z72" s="6"/>
      <c r="AB72" s="8"/>
      <c r="AD72" s="55">
        <f t="shared" si="21"/>
        <v>0.91379310344827591</v>
      </c>
      <c r="AE72" s="57">
        <f t="shared" si="22"/>
        <v>1</v>
      </c>
      <c r="AF72" s="55">
        <f t="shared" si="23"/>
        <v>1</v>
      </c>
      <c r="AG72" s="55">
        <f t="shared" si="24"/>
        <v>1.0852713178294575E-2</v>
      </c>
      <c r="AH72" s="57">
        <f t="shared" si="25"/>
        <v>0</v>
      </c>
      <c r="AI72" s="55">
        <f t="shared" si="26"/>
        <v>0.90373280943025547</v>
      </c>
      <c r="AJ72" s="55">
        <f t="shared" si="27"/>
        <v>0.48462929475587702</v>
      </c>
      <c r="AK72" s="55">
        <f t="shared" si="28"/>
        <v>1</v>
      </c>
      <c r="AL72" s="55">
        <f t="shared" si="29"/>
        <v>0.28854477253053767</v>
      </c>
      <c r="AM72" s="55">
        <f t="shared" si="30"/>
        <v>0.91500000000000004</v>
      </c>
      <c r="AN72" s="57">
        <f t="shared" si="31"/>
        <v>0.18681375649306889</v>
      </c>
      <c r="AO72" s="53">
        <f t="shared" si="32"/>
        <v>0.33700279474847261</v>
      </c>
      <c r="AP72" s="57">
        <f t="shared" si="33"/>
        <v>7.8630964704438991E-2</v>
      </c>
      <c r="AQ72" s="54">
        <f t="shared" si="34"/>
        <v>1</v>
      </c>
      <c r="AS72" s="61" t="str">
        <f t="shared" si="35"/>
        <v/>
      </c>
      <c r="AT72" s="61">
        <f t="shared" si="36"/>
        <v>41.552999999999997</v>
      </c>
    </row>
    <row r="73" spans="1:46" x14ac:dyDescent="0.3">
      <c r="A73" s="55">
        <v>746</v>
      </c>
      <c r="B73" s="57">
        <v>3.4</v>
      </c>
      <c r="C73" s="55">
        <v>316</v>
      </c>
      <c r="D73" s="55">
        <v>0.34</v>
      </c>
      <c r="E73" s="57">
        <v>0.82199999999999995</v>
      </c>
      <c r="F73" s="55">
        <v>26</v>
      </c>
      <c r="G73" s="55">
        <v>70.658000000000001</v>
      </c>
      <c r="H73" s="55">
        <v>49.715000000000003</v>
      </c>
      <c r="I73" s="55">
        <v>2.0236999999999998E-3</v>
      </c>
      <c r="J73" s="55">
        <v>221</v>
      </c>
      <c r="K73" s="57">
        <v>60.378</v>
      </c>
      <c r="L73" s="53">
        <v>32.671999999999997</v>
      </c>
      <c r="M73" s="60">
        <f t="shared" si="19"/>
        <v>27.706000000000003</v>
      </c>
      <c r="N73" s="54">
        <f t="shared" si="20"/>
        <v>0</v>
      </c>
      <c r="P73" s="6"/>
      <c r="R73" s="6"/>
      <c r="T73" s="6"/>
      <c r="V73" s="6"/>
      <c r="X73" s="6"/>
      <c r="Z73" s="6"/>
      <c r="AB73" s="8"/>
      <c r="AD73" s="55">
        <f t="shared" si="21"/>
        <v>0.99310344827586206</v>
      </c>
      <c r="AE73" s="57">
        <f t="shared" si="22"/>
        <v>0.16049382716049382</v>
      </c>
      <c r="AF73" s="55">
        <f t="shared" si="23"/>
        <v>0.68546637744034711</v>
      </c>
      <c r="AG73" s="55">
        <f t="shared" si="24"/>
        <v>1.0852713178294575E-2</v>
      </c>
      <c r="AH73" s="57">
        <f t="shared" si="25"/>
        <v>0.20970149253731343</v>
      </c>
      <c r="AI73" s="55">
        <f t="shared" si="26"/>
        <v>0.25540275049115913</v>
      </c>
      <c r="AJ73" s="55">
        <f t="shared" si="27"/>
        <v>0.17476491862567814</v>
      </c>
      <c r="AK73" s="55">
        <f t="shared" si="28"/>
        <v>0.67858333333333343</v>
      </c>
      <c r="AL73" s="55">
        <f t="shared" si="29"/>
        <v>0.17116716360488604</v>
      </c>
      <c r="AM73" s="55">
        <f t="shared" si="30"/>
        <v>0.55249999999999999</v>
      </c>
      <c r="AN73" s="57">
        <f t="shared" si="31"/>
        <v>0.17688450199932954</v>
      </c>
      <c r="AO73" s="53">
        <f t="shared" si="32"/>
        <v>0.26485116339529441</v>
      </c>
      <c r="AP73" s="57">
        <f t="shared" si="33"/>
        <v>0.10166547813484854</v>
      </c>
      <c r="AQ73" s="54">
        <f t="shared" si="34"/>
        <v>0</v>
      </c>
      <c r="AS73" s="61">
        <f t="shared" si="35"/>
        <v>32.671999999999997</v>
      </c>
      <c r="AT73" s="61" t="str">
        <f t="shared" si="36"/>
        <v/>
      </c>
    </row>
    <row r="74" spans="1:46" x14ac:dyDescent="0.3">
      <c r="A74" s="55">
        <v>715</v>
      </c>
      <c r="B74" s="57">
        <v>3.5</v>
      </c>
      <c r="C74" s="55">
        <v>430</v>
      </c>
      <c r="D74" s="55">
        <v>0.34</v>
      </c>
      <c r="E74" s="57">
        <v>0.82199999999999995</v>
      </c>
      <c r="F74" s="55">
        <v>80</v>
      </c>
      <c r="G74" s="55">
        <v>138.13</v>
      </c>
      <c r="H74" s="55">
        <v>67.876000000000005</v>
      </c>
      <c r="I74" s="55">
        <v>2.8896999999999998E-3</v>
      </c>
      <c r="J74" s="55">
        <v>335</v>
      </c>
      <c r="K74" s="57">
        <v>70.852999999999994</v>
      </c>
      <c r="L74" s="53">
        <v>34.404000000000003</v>
      </c>
      <c r="M74" s="60">
        <f t="shared" si="19"/>
        <v>36.448999999999991</v>
      </c>
      <c r="N74" s="54">
        <f t="shared" si="20"/>
        <v>0</v>
      </c>
      <c r="P74" s="6"/>
      <c r="R74" s="6"/>
      <c r="T74" s="6"/>
      <c r="V74" s="6"/>
      <c r="X74" s="6"/>
      <c r="Z74" s="6"/>
      <c r="AB74" s="8"/>
      <c r="AD74" s="55">
        <f t="shared" si="21"/>
        <v>0.93965517241379315</v>
      </c>
      <c r="AE74" s="57">
        <f t="shared" si="22"/>
        <v>0.16666666666666669</v>
      </c>
      <c r="AF74" s="55">
        <f t="shared" si="23"/>
        <v>0.93275488069414314</v>
      </c>
      <c r="AG74" s="55">
        <f t="shared" si="24"/>
        <v>1.0852713178294575E-2</v>
      </c>
      <c r="AH74" s="57">
        <f t="shared" si="25"/>
        <v>0.20970149253731343</v>
      </c>
      <c r="AI74" s="55">
        <f t="shared" si="26"/>
        <v>0.78585461689587432</v>
      </c>
      <c r="AJ74" s="55">
        <f t="shared" si="27"/>
        <v>0.47979204339963832</v>
      </c>
      <c r="AK74" s="55">
        <f t="shared" si="28"/>
        <v>0.98126666666666673</v>
      </c>
      <c r="AL74" s="55">
        <f t="shared" si="29"/>
        <v>0.27528373569298836</v>
      </c>
      <c r="AM74" s="55">
        <f t="shared" si="30"/>
        <v>0.83750000000000002</v>
      </c>
      <c r="AN74" s="57">
        <f t="shared" si="31"/>
        <v>0.21308670903793714</v>
      </c>
      <c r="AO74" s="53">
        <f t="shared" si="32"/>
        <v>0.27892239698427146</v>
      </c>
      <c r="AP74" s="57">
        <f t="shared" si="33"/>
        <v>0.13518590938019981</v>
      </c>
      <c r="AQ74" s="54">
        <f t="shared" si="34"/>
        <v>0</v>
      </c>
      <c r="AS74" s="61">
        <f t="shared" si="35"/>
        <v>34.404000000000003</v>
      </c>
      <c r="AT74" s="61" t="str">
        <f t="shared" si="36"/>
        <v/>
      </c>
    </row>
    <row r="75" spans="1:46" x14ac:dyDescent="0.3">
      <c r="A75" s="55">
        <v>330</v>
      </c>
      <c r="B75" s="57">
        <v>4</v>
      </c>
      <c r="C75" s="55">
        <v>153</v>
      </c>
      <c r="D75" s="55">
        <v>3.2</v>
      </c>
      <c r="E75" s="57">
        <v>2.94</v>
      </c>
      <c r="F75" s="55">
        <v>7</v>
      </c>
      <c r="G75" s="55">
        <v>113</v>
      </c>
      <c r="H75" s="55">
        <v>12</v>
      </c>
      <c r="I75" s="55">
        <v>2E-3</v>
      </c>
      <c r="J75" s="55">
        <v>50</v>
      </c>
      <c r="K75" s="57">
        <v>53.55</v>
      </c>
      <c r="L75" s="53">
        <v>21.864000000000001</v>
      </c>
      <c r="M75" s="60">
        <f t="shared" si="19"/>
        <v>31.685999999999996</v>
      </c>
      <c r="N75" s="54">
        <f t="shared" si="20"/>
        <v>0</v>
      </c>
      <c r="P75" s="6"/>
      <c r="R75" s="6"/>
      <c r="T75" s="6"/>
      <c r="V75" s="6"/>
      <c r="X75" s="6"/>
      <c r="Z75" s="6"/>
      <c r="AB75" s="8"/>
      <c r="AD75" s="55">
        <f t="shared" si="21"/>
        <v>0.27586206896551724</v>
      </c>
      <c r="AE75" s="57">
        <f t="shared" si="22"/>
        <v>0.19753086419753088</v>
      </c>
      <c r="AF75" s="55">
        <f t="shared" si="23"/>
        <v>0.33188720173535791</v>
      </c>
      <c r="AG75" s="55">
        <f t="shared" si="24"/>
        <v>0.23255813953488372</v>
      </c>
      <c r="AH75" s="57">
        <f t="shared" si="25"/>
        <v>1</v>
      </c>
      <c r="AI75" s="55">
        <f t="shared" si="26"/>
        <v>6.8762278978389005E-2</v>
      </c>
      <c r="AJ75" s="55">
        <f t="shared" si="27"/>
        <v>0.36618444846292947</v>
      </c>
      <c r="AK75" s="55">
        <f t="shared" si="28"/>
        <v>0.05</v>
      </c>
      <c r="AL75" s="55">
        <f t="shared" si="29"/>
        <v>0.168317783976147</v>
      </c>
      <c r="AM75" s="55">
        <f t="shared" si="30"/>
        <v>0.125</v>
      </c>
      <c r="AN75" s="57">
        <f t="shared" si="31"/>
        <v>0.15328653830867436</v>
      </c>
      <c r="AO75" s="53">
        <f t="shared" si="32"/>
        <v>0.17704406603405695</v>
      </c>
      <c r="AP75" s="57">
        <f t="shared" si="33"/>
        <v>0.11692469309041277</v>
      </c>
      <c r="AQ75" s="54">
        <f t="shared" si="34"/>
        <v>0</v>
      </c>
      <c r="AS75" s="61">
        <f t="shared" si="35"/>
        <v>21.864000000000001</v>
      </c>
      <c r="AT75" s="61" t="str">
        <f t="shared" si="36"/>
        <v/>
      </c>
    </row>
    <row r="76" spans="1:46" x14ac:dyDescent="0.3">
      <c r="A76" s="55">
        <v>230</v>
      </c>
      <c r="B76" s="57">
        <v>6</v>
      </c>
      <c r="C76" s="55">
        <v>157</v>
      </c>
      <c r="D76" s="55">
        <v>4</v>
      </c>
      <c r="E76" s="57">
        <v>2.94</v>
      </c>
      <c r="F76" s="55">
        <v>10</v>
      </c>
      <c r="G76" s="55">
        <v>71</v>
      </c>
      <c r="H76" s="55">
        <v>12</v>
      </c>
      <c r="I76" s="55">
        <v>3.5000000000000001E-3</v>
      </c>
      <c r="J76" s="55">
        <v>100</v>
      </c>
      <c r="K76" s="57">
        <v>15.802</v>
      </c>
      <c r="L76" s="53">
        <v>12.843</v>
      </c>
      <c r="M76" s="60">
        <f t="shared" si="19"/>
        <v>2.9589999999999996</v>
      </c>
      <c r="N76" s="54">
        <f t="shared" si="20"/>
        <v>0</v>
      </c>
      <c r="P76" s="6"/>
      <c r="R76" s="6"/>
      <c r="T76" s="6"/>
      <c r="V76" s="6"/>
      <c r="X76" s="6"/>
      <c r="Z76" s="6"/>
      <c r="AB76" s="8"/>
      <c r="AD76" s="55">
        <f t="shared" si="21"/>
        <v>0.10344827586206896</v>
      </c>
      <c r="AE76" s="57">
        <f t="shared" si="22"/>
        <v>0.32098765432098769</v>
      </c>
      <c r="AF76" s="55">
        <f t="shared" si="23"/>
        <v>0.34056399132321041</v>
      </c>
      <c r="AG76" s="55">
        <f t="shared" si="24"/>
        <v>0.29457364341085268</v>
      </c>
      <c r="AH76" s="57">
        <f t="shared" si="25"/>
        <v>1</v>
      </c>
      <c r="AI76" s="55">
        <f t="shared" si="26"/>
        <v>9.8231827111984291E-2</v>
      </c>
      <c r="AJ76" s="55">
        <f t="shared" si="27"/>
        <v>0.1763110307414105</v>
      </c>
      <c r="AK76" s="55">
        <f t="shared" si="28"/>
        <v>0.05</v>
      </c>
      <c r="AL76" s="55">
        <f t="shared" si="29"/>
        <v>0.34865826680773304</v>
      </c>
      <c r="AM76" s="55">
        <f t="shared" si="30"/>
        <v>0.25</v>
      </c>
      <c r="AN76" s="57">
        <f t="shared" si="31"/>
        <v>2.282726276754209E-2</v>
      </c>
      <c r="AO76" s="53">
        <f t="shared" si="32"/>
        <v>0.10375503704666582</v>
      </c>
      <c r="AP76" s="57">
        <f t="shared" si="33"/>
        <v>6.7861332842584707E-3</v>
      </c>
      <c r="AQ76" s="54">
        <f t="shared" si="34"/>
        <v>0</v>
      </c>
      <c r="AS76" s="61">
        <f t="shared" si="35"/>
        <v>12.843</v>
      </c>
      <c r="AT76" s="61" t="str">
        <f t="shared" si="36"/>
        <v/>
      </c>
    </row>
    <row r="77" spans="1:46" x14ac:dyDescent="0.3">
      <c r="A77" s="55">
        <v>523</v>
      </c>
      <c r="B77" s="57">
        <v>7</v>
      </c>
      <c r="C77" s="55">
        <v>160</v>
      </c>
      <c r="D77" s="55">
        <v>1.1000000000000001</v>
      </c>
      <c r="E77" s="57">
        <v>2.94</v>
      </c>
      <c r="F77" s="55">
        <v>10</v>
      </c>
      <c r="G77" s="55">
        <v>70</v>
      </c>
      <c r="H77" s="55">
        <v>15</v>
      </c>
      <c r="I77" s="55">
        <v>2.7000000000000001E-3</v>
      </c>
      <c r="J77" s="55">
        <v>55</v>
      </c>
      <c r="K77" s="57">
        <v>137.322</v>
      </c>
      <c r="L77" s="53">
        <v>32.054000000000002</v>
      </c>
      <c r="M77" s="60">
        <f t="shared" si="19"/>
        <v>105.268</v>
      </c>
      <c r="N77" s="54">
        <f t="shared" si="20"/>
        <v>0</v>
      </c>
      <c r="P77" s="6"/>
      <c r="R77" s="6"/>
      <c r="T77" s="6"/>
      <c r="V77" s="6"/>
      <c r="X77" s="6"/>
      <c r="Z77" s="6"/>
      <c r="AB77" s="8"/>
      <c r="AD77" s="55">
        <f t="shared" si="21"/>
        <v>0.60862068965517246</v>
      </c>
      <c r="AE77" s="57">
        <f t="shared" si="22"/>
        <v>0.38271604938271608</v>
      </c>
      <c r="AF77" s="55">
        <f t="shared" si="23"/>
        <v>0.34707158351409978</v>
      </c>
      <c r="AG77" s="55">
        <f t="shared" si="24"/>
        <v>6.9767441860465129E-2</v>
      </c>
      <c r="AH77" s="57">
        <f t="shared" si="25"/>
        <v>1</v>
      </c>
      <c r="AI77" s="55">
        <f t="shared" si="26"/>
        <v>9.8231827111984291E-2</v>
      </c>
      <c r="AJ77" s="55">
        <f t="shared" si="27"/>
        <v>0.17179023508137434</v>
      </c>
      <c r="AK77" s="55">
        <f t="shared" si="28"/>
        <v>0.1</v>
      </c>
      <c r="AL77" s="55">
        <f t="shared" si="29"/>
        <v>0.25247667596422052</v>
      </c>
      <c r="AM77" s="55">
        <f t="shared" si="30"/>
        <v>0.13750000000000001</v>
      </c>
      <c r="AN77" s="57">
        <f t="shared" si="31"/>
        <v>0.44280742499490233</v>
      </c>
      <c r="AO77" s="53">
        <f t="shared" si="32"/>
        <v>0.259830365267126</v>
      </c>
      <c r="AP77" s="57">
        <f t="shared" si="33"/>
        <v>0.39903613903521895</v>
      </c>
      <c r="AQ77" s="54">
        <f t="shared" si="34"/>
        <v>0</v>
      </c>
      <c r="AS77" s="61">
        <f t="shared" si="35"/>
        <v>32.054000000000002</v>
      </c>
      <c r="AT77" s="61" t="str">
        <f t="shared" si="36"/>
        <v/>
      </c>
    </row>
    <row r="78" spans="1:46" x14ac:dyDescent="0.3">
      <c r="A78" s="55">
        <v>310</v>
      </c>
      <c r="B78" s="57">
        <v>3</v>
      </c>
      <c r="C78" s="55">
        <v>157</v>
      </c>
      <c r="D78" s="55">
        <v>4.5</v>
      </c>
      <c r="E78" s="57">
        <v>2.94</v>
      </c>
      <c r="F78" s="55">
        <v>21</v>
      </c>
      <c r="G78" s="55">
        <v>106</v>
      </c>
      <c r="H78" s="55">
        <v>21</v>
      </c>
      <c r="I78" s="55">
        <v>3.0000000000000001E-3</v>
      </c>
      <c r="J78" s="55">
        <v>83</v>
      </c>
      <c r="K78" s="57">
        <v>74.263999999999996</v>
      </c>
      <c r="L78" s="53">
        <v>9.9710000000000001</v>
      </c>
      <c r="M78" s="60">
        <f t="shared" si="19"/>
        <v>64.292999999999992</v>
      </c>
      <c r="N78" s="54">
        <f t="shared" si="20"/>
        <v>0</v>
      </c>
      <c r="P78" s="6"/>
      <c r="R78" s="6"/>
      <c r="T78" s="6"/>
      <c r="V78" s="6"/>
      <c r="X78" s="6"/>
      <c r="Z78" s="6"/>
      <c r="AB78" s="8"/>
      <c r="AD78" s="55">
        <f t="shared" si="21"/>
        <v>0.2413793103448276</v>
      </c>
      <c r="AE78" s="57">
        <f t="shared" si="22"/>
        <v>0.13580246913580249</v>
      </c>
      <c r="AF78" s="55">
        <f t="shared" si="23"/>
        <v>0.34056399132321041</v>
      </c>
      <c r="AG78" s="55">
        <f t="shared" si="24"/>
        <v>0.33333333333333331</v>
      </c>
      <c r="AH78" s="57">
        <f t="shared" si="25"/>
        <v>1</v>
      </c>
      <c r="AI78" s="55">
        <f t="shared" si="26"/>
        <v>0.206286836935167</v>
      </c>
      <c r="AJ78" s="55">
        <f t="shared" si="27"/>
        <v>0.3345388788426763</v>
      </c>
      <c r="AK78" s="55">
        <f t="shared" si="28"/>
        <v>0.2</v>
      </c>
      <c r="AL78" s="55">
        <f t="shared" si="29"/>
        <v>0.28854477253053767</v>
      </c>
      <c r="AM78" s="55">
        <f t="shared" si="30"/>
        <v>0.20749999999999999</v>
      </c>
      <c r="AN78" s="57">
        <f t="shared" si="31"/>
        <v>0.22487532270941119</v>
      </c>
      <c r="AO78" s="53">
        <f t="shared" si="32"/>
        <v>8.0422137007669314E-2</v>
      </c>
      <c r="AP78" s="57">
        <f t="shared" si="33"/>
        <v>0.24193907049143873</v>
      </c>
      <c r="AQ78" s="54">
        <f t="shared" si="34"/>
        <v>0</v>
      </c>
      <c r="AS78" s="61">
        <f t="shared" si="35"/>
        <v>9.9710000000000001</v>
      </c>
      <c r="AT78" s="61" t="str">
        <f t="shared" si="36"/>
        <v/>
      </c>
    </row>
    <row r="79" spans="1:46" x14ac:dyDescent="0.3">
      <c r="A79" s="55">
        <v>350</v>
      </c>
      <c r="B79" s="57">
        <v>4</v>
      </c>
      <c r="C79" s="55">
        <v>151</v>
      </c>
      <c r="D79" s="55">
        <v>3</v>
      </c>
      <c r="E79" s="57">
        <v>2.94</v>
      </c>
      <c r="F79" s="55">
        <v>5</v>
      </c>
      <c r="G79" s="55">
        <v>56</v>
      </c>
      <c r="H79" s="55">
        <v>12</v>
      </c>
      <c r="I79" s="55">
        <v>1.9E-3</v>
      </c>
      <c r="J79" s="55">
        <v>71</v>
      </c>
      <c r="K79" s="57">
        <v>65.114000000000004</v>
      </c>
      <c r="L79" s="53">
        <v>20.933</v>
      </c>
      <c r="M79" s="60">
        <f t="shared" si="19"/>
        <v>44.181000000000004</v>
      </c>
      <c r="N79" s="54">
        <f t="shared" si="20"/>
        <v>0</v>
      </c>
      <c r="P79" s="6"/>
      <c r="R79" s="6"/>
      <c r="T79" s="6"/>
      <c r="V79" s="6"/>
      <c r="X79" s="6"/>
      <c r="Z79" s="6"/>
      <c r="AB79" s="8"/>
      <c r="AD79" s="55">
        <f t="shared" si="21"/>
        <v>0.31034482758620691</v>
      </c>
      <c r="AE79" s="57">
        <f t="shared" si="22"/>
        <v>0.19753086419753088</v>
      </c>
      <c r="AF79" s="55">
        <f t="shared" si="23"/>
        <v>0.32754880694143168</v>
      </c>
      <c r="AG79" s="55">
        <f t="shared" si="24"/>
        <v>0.21705426356589144</v>
      </c>
      <c r="AH79" s="57">
        <f t="shared" si="25"/>
        <v>1</v>
      </c>
      <c r="AI79" s="55">
        <f t="shared" si="26"/>
        <v>4.9115913555992145E-2</v>
      </c>
      <c r="AJ79" s="55">
        <f t="shared" si="27"/>
        <v>0.108499095840868</v>
      </c>
      <c r="AK79" s="55">
        <f t="shared" si="28"/>
        <v>0.05</v>
      </c>
      <c r="AL79" s="55">
        <f t="shared" si="29"/>
        <v>0.15629508512070789</v>
      </c>
      <c r="AM79" s="55">
        <f t="shared" si="30"/>
        <v>0.17749999999999999</v>
      </c>
      <c r="AN79" s="57">
        <f t="shared" si="31"/>
        <v>0.19325239245611672</v>
      </c>
      <c r="AO79" s="53">
        <f t="shared" si="32"/>
        <v>0.16948037176654102</v>
      </c>
      <c r="AP79" s="57">
        <f t="shared" si="33"/>
        <v>0.1648301933089493</v>
      </c>
      <c r="AQ79" s="54">
        <f t="shared" si="34"/>
        <v>0</v>
      </c>
      <c r="AS79" s="61">
        <f t="shared" si="35"/>
        <v>20.933</v>
      </c>
      <c r="AT79" s="61" t="str">
        <f t="shared" si="36"/>
        <v/>
      </c>
    </row>
    <row r="80" spans="1:46" x14ac:dyDescent="0.3">
      <c r="A80" s="55">
        <v>180</v>
      </c>
      <c r="B80" s="57">
        <v>6</v>
      </c>
      <c r="C80" s="55">
        <v>157</v>
      </c>
      <c r="D80" s="55">
        <v>2.1</v>
      </c>
      <c r="E80" s="57">
        <v>2.94</v>
      </c>
      <c r="F80" s="55">
        <v>5</v>
      </c>
      <c r="G80" s="55">
        <v>54</v>
      </c>
      <c r="H80" s="55">
        <v>10</v>
      </c>
      <c r="I80" s="55">
        <v>2.2000000000000001E-3</v>
      </c>
      <c r="J80" s="55">
        <v>54</v>
      </c>
      <c r="K80" s="57">
        <v>33.375999999999998</v>
      </c>
      <c r="L80" s="53">
        <v>14.574</v>
      </c>
      <c r="M80" s="60">
        <f t="shared" si="19"/>
        <v>18.802</v>
      </c>
      <c r="N80" s="54">
        <f t="shared" si="20"/>
        <v>0</v>
      </c>
      <c r="P80" s="6"/>
      <c r="R80" s="6"/>
      <c r="T80" s="6"/>
      <c r="V80" s="6"/>
      <c r="X80" s="6"/>
      <c r="Z80" s="6"/>
      <c r="AB80" s="8"/>
      <c r="AD80" s="55">
        <f t="shared" si="21"/>
        <v>1.7241379310344827E-2</v>
      </c>
      <c r="AE80" s="57">
        <f t="shared" si="22"/>
        <v>0.32098765432098769</v>
      </c>
      <c r="AF80" s="55">
        <f t="shared" si="23"/>
        <v>0.34056399132321041</v>
      </c>
      <c r="AG80" s="55">
        <f t="shared" si="24"/>
        <v>0.14728682170542637</v>
      </c>
      <c r="AH80" s="57">
        <f t="shared" si="25"/>
        <v>1</v>
      </c>
      <c r="AI80" s="55">
        <f t="shared" si="26"/>
        <v>4.9115913555992145E-2</v>
      </c>
      <c r="AJ80" s="55">
        <f t="shared" si="27"/>
        <v>9.9457504520795659E-2</v>
      </c>
      <c r="AK80" s="55">
        <f t="shared" si="28"/>
        <v>1.6666666666666666E-2</v>
      </c>
      <c r="AL80" s="55">
        <f t="shared" si="29"/>
        <v>0.19236318168702515</v>
      </c>
      <c r="AM80" s="55">
        <f t="shared" si="30"/>
        <v>0.13500000000000001</v>
      </c>
      <c r="AN80" s="57">
        <f t="shared" si="31"/>
        <v>8.3564025201574577E-2</v>
      </c>
      <c r="AO80" s="53">
        <f t="shared" si="32"/>
        <v>0.117818146366827</v>
      </c>
      <c r="AP80" s="57">
        <f t="shared" si="33"/>
        <v>6.7527777138782177E-2</v>
      </c>
      <c r="AQ80" s="54">
        <f t="shared" si="34"/>
        <v>0</v>
      </c>
      <c r="AS80" s="61">
        <f t="shared" si="35"/>
        <v>14.574</v>
      </c>
      <c r="AT80" s="61" t="str">
        <f t="shared" si="36"/>
        <v/>
      </c>
    </row>
    <row r="81" spans="1:46" x14ac:dyDescent="0.3">
      <c r="A81" s="55">
        <v>326</v>
      </c>
      <c r="B81" s="57">
        <v>5</v>
      </c>
      <c r="C81" s="55">
        <v>163</v>
      </c>
      <c r="D81" s="55">
        <v>3.5</v>
      </c>
      <c r="E81" s="57">
        <v>2.94</v>
      </c>
      <c r="F81" s="55">
        <v>5</v>
      </c>
      <c r="G81" s="55">
        <v>54</v>
      </c>
      <c r="H81" s="55">
        <v>13</v>
      </c>
      <c r="I81" s="55">
        <v>1.5E-3</v>
      </c>
      <c r="J81" s="55">
        <v>62</v>
      </c>
      <c r="K81" s="57">
        <v>41.317999999999998</v>
      </c>
      <c r="L81" s="53">
        <v>3.665</v>
      </c>
      <c r="M81" s="60">
        <f t="shared" si="19"/>
        <v>37.652999999999999</v>
      </c>
      <c r="N81" s="54">
        <f t="shared" si="20"/>
        <v>0</v>
      </c>
      <c r="P81" s="6"/>
      <c r="R81" s="6"/>
      <c r="T81" s="6"/>
      <c r="V81" s="6"/>
      <c r="X81" s="6"/>
      <c r="Z81" s="6"/>
      <c r="AB81" s="8"/>
      <c r="AD81" s="55">
        <f t="shared" si="21"/>
        <v>0.26896551724137929</v>
      </c>
      <c r="AE81" s="57">
        <f t="shared" si="22"/>
        <v>0.2592592592592593</v>
      </c>
      <c r="AF81" s="55">
        <f t="shared" si="23"/>
        <v>0.35357917570498915</v>
      </c>
      <c r="AG81" s="55">
        <f t="shared" si="24"/>
        <v>0.25581395348837205</v>
      </c>
      <c r="AH81" s="57">
        <f t="shared" si="25"/>
        <v>1</v>
      </c>
      <c r="AI81" s="55">
        <f t="shared" si="26"/>
        <v>4.9115913555992145E-2</v>
      </c>
      <c r="AJ81" s="55">
        <f t="shared" si="27"/>
        <v>9.9457504520795659E-2</v>
      </c>
      <c r="AK81" s="55">
        <f t="shared" si="28"/>
        <v>6.6666666666666666E-2</v>
      </c>
      <c r="AL81" s="55">
        <f t="shared" si="29"/>
        <v>0.10820428969895164</v>
      </c>
      <c r="AM81" s="55">
        <f t="shared" si="30"/>
        <v>0.155</v>
      </c>
      <c r="AN81" s="57">
        <f t="shared" si="31"/>
        <v>0.11101203744984395</v>
      </c>
      <c r="AO81" s="53">
        <f t="shared" si="32"/>
        <v>2.9190497855193034E-2</v>
      </c>
      <c r="AP81" s="57">
        <f t="shared" si="33"/>
        <v>0.13980201360293837</v>
      </c>
      <c r="AQ81" s="54">
        <f t="shared" si="34"/>
        <v>0</v>
      </c>
      <c r="AS81" s="61">
        <f t="shared" si="35"/>
        <v>3.665</v>
      </c>
      <c r="AT81" s="61" t="str">
        <f t="shared" si="36"/>
        <v/>
      </c>
    </row>
    <row r="82" spans="1:46" x14ac:dyDescent="0.3">
      <c r="A82" s="55">
        <v>190</v>
      </c>
      <c r="B82" s="57">
        <v>5</v>
      </c>
      <c r="C82" s="55">
        <v>123</v>
      </c>
      <c r="D82" s="55">
        <v>5</v>
      </c>
      <c r="E82" s="57">
        <v>2.94</v>
      </c>
      <c r="F82" s="55">
        <v>10</v>
      </c>
      <c r="G82" s="55">
        <v>73</v>
      </c>
      <c r="H82" s="55">
        <v>11</v>
      </c>
      <c r="I82" s="55">
        <v>3.5000000000000001E-3</v>
      </c>
      <c r="J82" s="55">
        <v>51</v>
      </c>
      <c r="K82" s="57">
        <v>9.1969999999999992</v>
      </c>
      <c r="L82" s="53">
        <v>8.0079999999999991</v>
      </c>
      <c r="M82" s="60">
        <f t="shared" si="19"/>
        <v>1.1890000000000001</v>
      </c>
      <c r="N82" s="54">
        <f t="shared" si="20"/>
        <v>0</v>
      </c>
      <c r="P82" s="6"/>
      <c r="R82" s="6"/>
      <c r="T82" s="6"/>
      <c r="V82" s="6"/>
      <c r="X82" s="6"/>
      <c r="Z82" s="6"/>
      <c r="AB82" s="8"/>
      <c r="AD82" s="55">
        <f t="shared" si="21"/>
        <v>3.4482758620689655E-2</v>
      </c>
      <c r="AE82" s="57">
        <f t="shared" si="22"/>
        <v>0.2592592592592593</v>
      </c>
      <c r="AF82" s="55">
        <f t="shared" si="23"/>
        <v>0.26681127982646419</v>
      </c>
      <c r="AG82" s="55">
        <f t="shared" si="24"/>
        <v>0.37209302325581395</v>
      </c>
      <c r="AH82" s="57">
        <f t="shared" si="25"/>
        <v>1</v>
      </c>
      <c r="AI82" s="55">
        <f t="shared" si="26"/>
        <v>9.8231827111984291E-2</v>
      </c>
      <c r="AJ82" s="55">
        <f t="shared" si="27"/>
        <v>0.18535262206148284</v>
      </c>
      <c r="AK82" s="55">
        <f t="shared" si="28"/>
        <v>3.3333333333333333E-2</v>
      </c>
      <c r="AL82" s="55">
        <f t="shared" si="29"/>
        <v>0.34865826680773304</v>
      </c>
      <c r="AM82" s="55">
        <f t="shared" si="30"/>
        <v>0.1275</v>
      </c>
      <c r="AN82" s="57">
        <f t="shared" si="31"/>
        <v>0</v>
      </c>
      <c r="AO82" s="53">
        <f t="shared" si="32"/>
        <v>6.4474197322240995E-2</v>
      </c>
      <c r="AP82" s="57">
        <f t="shared" si="33"/>
        <v>0</v>
      </c>
      <c r="AQ82" s="54">
        <f t="shared" si="34"/>
        <v>0</v>
      </c>
      <c r="AS82" s="61">
        <f t="shared" si="35"/>
        <v>8.0079999999999991</v>
      </c>
      <c r="AT82" s="61" t="str">
        <f t="shared" si="36"/>
        <v/>
      </c>
    </row>
    <row r="83" spans="1:46" x14ac:dyDescent="0.3">
      <c r="A83" s="55">
        <v>310</v>
      </c>
      <c r="B83" s="57">
        <v>16</v>
      </c>
      <c r="C83" s="55">
        <v>160</v>
      </c>
      <c r="D83" s="55">
        <v>6.1</v>
      </c>
      <c r="E83" s="57">
        <v>2.94</v>
      </c>
      <c r="F83" s="55">
        <v>5</v>
      </c>
      <c r="G83" s="55">
        <v>64</v>
      </c>
      <c r="H83" s="55">
        <v>11</v>
      </c>
      <c r="I83" s="55">
        <v>2.5000000000000001E-3</v>
      </c>
      <c r="J83" s="55">
        <v>31</v>
      </c>
      <c r="K83" s="57">
        <v>43.326000000000001</v>
      </c>
      <c r="L83" s="53">
        <v>33.582999999999998</v>
      </c>
      <c r="M83" s="60">
        <f t="shared" si="19"/>
        <v>9.7430000000000021</v>
      </c>
      <c r="N83" s="54">
        <f t="shared" si="20"/>
        <v>0</v>
      </c>
      <c r="P83" s="6"/>
      <c r="R83" s="6"/>
      <c r="T83" s="6"/>
      <c r="V83" s="6"/>
      <c r="X83" s="6"/>
      <c r="Z83" s="6"/>
      <c r="AB83" s="8"/>
      <c r="AD83" s="55">
        <f t="shared" si="21"/>
        <v>0.2413793103448276</v>
      </c>
      <c r="AE83" s="57">
        <f t="shared" si="22"/>
        <v>0.93827160493827155</v>
      </c>
      <c r="AF83" s="55">
        <f t="shared" si="23"/>
        <v>0.34707158351409978</v>
      </c>
      <c r="AG83" s="55">
        <f t="shared" si="24"/>
        <v>0.45736434108527124</v>
      </c>
      <c r="AH83" s="57">
        <f t="shared" si="25"/>
        <v>1</v>
      </c>
      <c r="AI83" s="55">
        <f t="shared" si="26"/>
        <v>4.9115913555992145E-2</v>
      </c>
      <c r="AJ83" s="55">
        <f t="shared" si="27"/>
        <v>0.14466546112115733</v>
      </c>
      <c r="AK83" s="55">
        <f t="shared" si="28"/>
        <v>3.3333333333333333E-2</v>
      </c>
      <c r="AL83" s="55">
        <f t="shared" si="29"/>
        <v>0.22843127825334233</v>
      </c>
      <c r="AM83" s="55">
        <f t="shared" si="30"/>
        <v>7.7499999999999999E-2</v>
      </c>
      <c r="AN83" s="57">
        <f t="shared" si="31"/>
        <v>0.11795180181581287</v>
      </c>
      <c r="AO83" s="53">
        <f t="shared" si="32"/>
        <v>0.27225237228649418</v>
      </c>
      <c r="AP83" s="57">
        <f t="shared" si="33"/>
        <v>3.2795810233642364E-2</v>
      </c>
      <c r="AQ83" s="54">
        <f t="shared" si="34"/>
        <v>0</v>
      </c>
      <c r="AS83" s="61">
        <f t="shared" si="35"/>
        <v>33.582999999999998</v>
      </c>
      <c r="AT83" s="61" t="str">
        <f t="shared" si="36"/>
        <v/>
      </c>
    </row>
    <row r="84" spans="1:46" x14ac:dyDescent="0.3">
      <c r="A84" s="55">
        <v>230</v>
      </c>
      <c r="B84" s="57">
        <v>4</v>
      </c>
      <c r="C84" s="55">
        <v>150</v>
      </c>
      <c r="D84" s="55">
        <v>10</v>
      </c>
      <c r="E84" s="57">
        <v>2.94</v>
      </c>
      <c r="F84" s="55">
        <v>5</v>
      </c>
      <c r="G84" s="55">
        <v>67</v>
      </c>
      <c r="H84" s="55">
        <v>16</v>
      </c>
      <c r="I84" s="55">
        <v>1.4E-3</v>
      </c>
      <c r="J84" s="55">
        <v>89</v>
      </c>
      <c r="K84" s="57">
        <v>74.39</v>
      </c>
      <c r="L84" s="53">
        <v>42.036999999999999</v>
      </c>
      <c r="M84" s="60">
        <f t="shared" si="19"/>
        <v>32.353000000000002</v>
      </c>
      <c r="N84" s="54">
        <f t="shared" si="20"/>
        <v>1</v>
      </c>
      <c r="P84" s="6"/>
      <c r="R84" s="6"/>
      <c r="T84" s="6"/>
      <c r="V84" s="6"/>
      <c r="X84" s="6"/>
      <c r="Z84" s="6"/>
      <c r="AB84" s="8"/>
      <c r="AD84" s="55">
        <f t="shared" si="21"/>
        <v>0.10344827586206896</v>
      </c>
      <c r="AE84" s="57">
        <f t="shared" si="22"/>
        <v>0.19753086419753088</v>
      </c>
      <c r="AF84" s="55">
        <f t="shared" si="23"/>
        <v>0.32537960954446854</v>
      </c>
      <c r="AG84" s="55">
        <f t="shared" si="24"/>
        <v>0.75968992248062017</v>
      </c>
      <c r="AH84" s="57">
        <f t="shared" si="25"/>
        <v>1</v>
      </c>
      <c r="AI84" s="55">
        <f t="shared" si="26"/>
        <v>4.9115913555992145E-2</v>
      </c>
      <c r="AJ84" s="55">
        <f t="shared" si="27"/>
        <v>0.15822784810126583</v>
      </c>
      <c r="AK84" s="55">
        <f t="shared" si="28"/>
        <v>0.11666666666666667</v>
      </c>
      <c r="AL84" s="55">
        <f t="shared" si="29"/>
        <v>9.6181590843512563E-2</v>
      </c>
      <c r="AM84" s="55">
        <f t="shared" si="30"/>
        <v>0.2225</v>
      </c>
      <c r="AN84" s="57">
        <f t="shared" si="31"/>
        <v>0.22531078601125984</v>
      </c>
      <c r="AO84" s="53">
        <f t="shared" si="32"/>
        <v>0.340934940855323</v>
      </c>
      <c r="AP84" s="57">
        <f t="shared" si="33"/>
        <v>0.11948195348623222</v>
      </c>
      <c r="AQ84" s="54">
        <f t="shared" si="34"/>
        <v>1</v>
      </c>
      <c r="AS84" s="61" t="str">
        <f t="shared" si="35"/>
        <v/>
      </c>
      <c r="AT84" s="61">
        <f t="shared" si="36"/>
        <v>42.036999999999999</v>
      </c>
    </row>
    <row r="85" spans="1:46" x14ac:dyDescent="0.3">
      <c r="A85" s="55">
        <v>289</v>
      </c>
      <c r="B85" s="57">
        <v>6</v>
      </c>
      <c r="C85" s="55">
        <v>148</v>
      </c>
      <c r="D85" s="55">
        <v>5</v>
      </c>
      <c r="E85" s="57">
        <v>2.94</v>
      </c>
      <c r="F85" s="55">
        <v>10</v>
      </c>
      <c r="G85" s="55">
        <v>71</v>
      </c>
      <c r="H85" s="55">
        <v>19</v>
      </c>
      <c r="I85" s="55">
        <v>2E-3</v>
      </c>
      <c r="J85" s="55">
        <v>80</v>
      </c>
      <c r="K85" s="57">
        <v>132.749</v>
      </c>
      <c r="L85" s="53">
        <v>42.877000000000002</v>
      </c>
      <c r="M85" s="60">
        <f t="shared" si="19"/>
        <v>89.871999999999986</v>
      </c>
      <c r="N85" s="54">
        <f t="shared" si="20"/>
        <v>1</v>
      </c>
      <c r="P85" s="6"/>
      <c r="R85" s="6"/>
      <c r="T85" s="6"/>
      <c r="V85" s="6"/>
      <c r="X85" s="6"/>
      <c r="Z85" s="6"/>
      <c r="AB85" s="8"/>
      <c r="AD85" s="55">
        <f t="shared" si="21"/>
        <v>0.20517241379310344</v>
      </c>
      <c r="AE85" s="57">
        <f t="shared" si="22"/>
        <v>0.32098765432098769</v>
      </c>
      <c r="AF85" s="55">
        <f t="shared" si="23"/>
        <v>0.32104121475054231</v>
      </c>
      <c r="AG85" s="55">
        <f t="shared" si="24"/>
        <v>0.37209302325581395</v>
      </c>
      <c r="AH85" s="57">
        <f t="shared" si="25"/>
        <v>1</v>
      </c>
      <c r="AI85" s="55">
        <f t="shared" si="26"/>
        <v>9.8231827111984291E-2</v>
      </c>
      <c r="AJ85" s="55">
        <f t="shared" si="27"/>
        <v>0.1763110307414105</v>
      </c>
      <c r="AK85" s="55">
        <f t="shared" si="28"/>
        <v>0.16666666666666666</v>
      </c>
      <c r="AL85" s="55">
        <f t="shared" si="29"/>
        <v>0.168317783976147</v>
      </c>
      <c r="AM85" s="55">
        <f t="shared" si="30"/>
        <v>0.2</v>
      </c>
      <c r="AN85" s="57">
        <f t="shared" si="31"/>
        <v>0.42700287198415743</v>
      </c>
      <c r="AO85" s="53">
        <f t="shared" si="32"/>
        <v>0.34775932666060055</v>
      </c>
      <c r="AP85" s="57">
        <f t="shared" si="33"/>
        <v>0.340008281382991</v>
      </c>
      <c r="AQ85" s="54">
        <f t="shared" si="34"/>
        <v>1</v>
      </c>
      <c r="AS85" s="61" t="str">
        <f t="shared" si="35"/>
        <v/>
      </c>
      <c r="AT85" s="61">
        <f t="shared" si="36"/>
        <v>42.877000000000002</v>
      </c>
    </row>
    <row r="86" spans="1:46" x14ac:dyDescent="0.3">
      <c r="A86" s="55">
        <v>346</v>
      </c>
      <c r="B86" s="57">
        <v>7</v>
      </c>
      <c r="C86" s="55">
        <v>165</v>
      </c>
      <c r="D86" s="55">
        <v>5</v>
      </c>
      <c r="E86" s="57">
        <v>2.94</v>
      </c>
      <c r="F86" s="55">
        <v>5</v>
      </c>
      <c r="G86" s="55">
        <v>37</v>
      </c>
      <c r="H86" s="55">
        <v>19</v>
      </c>
      <c r="I86" s="55">
        <v>2E-3</v>
      </c>
      <c r="J86" s="55">
        <v>110</v>
      </c>
      <c r="K86" s="57">
        <v>25.661000000000001</v>
      </c>
      <c r="L86" s="53">
        <v>4.9050000000000002</v>
      </c>
      <c r="M86" s="60">
        <f t="shared" si="19"/>
        <v>20.756</v>
      </c>
      <c r="N86" s="54">
        <f t="shared" si="20"/>
        <v>0</v>
      </c>
      <c r="P86" s="6"/>
      <c r="R86" s="6"/>
      <c r="T86" s="6"/>
      <c r="V86" s="6"/>
      <c r="X86" s="6"/>
      <c r="Z86" s="6"/>
      <c r="AB86" s="8"/>
      <c r="AD86" s="55">
        <f t="shared" si="21"/>
        <v>0.30344827586206896</v>
      </c>
      <c r="AE86" s="57">
        <f t="shared" si="22"/>
        <v>0.38271604938271608</v>
      </c>
      <c r="AF86" s="55">
        <f t="shared" si="23"/>
        <v>0.35791757049891543</v>
      </c>
      <c r="AG86" s="55">
        <f t="shared" si="24"/>
        <v>0.37209302325581395</v>
      </c>
      <c r="AH86" s="57">
        <f t="shared" si="25"/>
        <v>1</v>
      </c>
      <c r="AI86" s="55">
        <f t="shared" si="26"/>
        <v>4.9115913555992145E-2</v>
      </c>
      <c r="AJ86" s="55">
        <f t="shared" si="27"/>
        <v>2.2603978300180832E-2</v>
      </c>
      <c r="AK86" s="55">
        <f t="shared" si="28"/>
        <v>0.16666666666666666</v>
      </c>
      <c r="AL86" s="55">
        <f t="shared" si="29"/>
        <v>0.168317783976147</v>
      </c>
      <c r="AM86" s="55">
        <f t="shared" si="30"/>
        <v>0.27500000000000002</v>
      </c>
      <c r="AN86" s="57">
        <f t="shared" si="31"/>
        <v>5.6900538108223007E-2</v>
      </c>
      <c r="AO86" s="53">
        <f t="shared" si="32"/>
        <v>3.9264591186793193E-2</v>
      </c>
      <c r="AP86" s="57">
        <f t="shared" si="33"/>
        <v>7.5019361566714987E-2</v>
      </c>
      <c r="AQ86" s="54">
        <f t="shared" si="34"/>
        <v>0</v>
      </c>
      <c r="AS86" s="61">
        <f t="shared" si="35"/>
        <v>4.9050000000000002</v>
      </c>
      <c r="AT86" s="61" t="str">
        <f t="shared" si="36"/>
        <v/>
      </c>
    </row>
    <row r="87" spans="1:46" x14ac:dyDescent="0.3">
      <c r="A87" s="55">
        <v>420</v>
      </c>
      <c r="B87" s="57">
        <v>12</v>
      </c>
      <c r="C87" s="55">
        <v>167</v>
      </c>
      <c r="D87" s="55">
        <v>1.3</v>
      </c>
      <c r="E87" s="57">
        <v>2.94</v>
      </c>
      <c r="F87" s="55">
        <v>5</v>
      </c>
      <c r="G87" s="55">
        <v>45</v>
      </c>
      <c r="H87" s="55">
        <v>17</v>
      </c>
      <c r="I87" s="55">
        <v>1.6999999999999999E-3</v>
      </c>
      <c r="J87" s="55">
        <v>54</v>
      </c>
      <c r="K87" s="57">
        <v>155.76400000000001</v>
      </c>
      <c r="L87" s="53">
        <v>50.914000000000001</v>
      </c>
      <c r="M87" s="60">
        <f t="shared" si="19"/>
        <v>104.85000000000001</v>
      </c>
      <c r="N87" s="54">
        <f t="shared" si="20"/>
        <v>1</v>
      </c>
      <c r="P87" s="6"/>
      <c r="R87" s="6"/>
      <c r="T87" s="6"/>
      <c r="V87" s="6"/>
      <c r="X87" s="6"/>
      <c r="Z87" s="6"/>
      <c r="AB87" s="8"/>
      <c r="AD87" s="55">
        <f t="shared" si="21"/>
        <v>0.43103448275862066</v>
      </c>
      <c r="AE87" s="57">
        <f t="shared" si="22"/>
        <v>0.69135802469135799</v>
      </c>
      <c r="AF87" s="55">
        <f t="shared" si="23"/>
        <v>0.36225596529284165</v>
      </c>
      <c r="AG87" s="55">
        <f t="shared" si="24"/>
        <v>8.5271317829457363E-2</v>
      </c>
      <c r="AH87" s="57">
        <f t="shared" si="25"/>
        <v>1</v>
      </c>
      <c r="AI87" s="55">
        <f t="shared" si="26"/>
        <v>4.9115913555992145E-2</v>
      </c>
      <c r="AJ87" s="55">
        <f t="shared" si="27"/>
        <v>5.8770343580470168E-2</v>
      </c>
      <c r="AK87" s="55">
        <f t="shared" si="28"/>
        <v>0.13333333333333333</v>
      </c>
      <c r="AL87" s="55">
        <f t="shared" si="29"/>
        <v>0.13224968740982976</v>
      </c>
      <c r="AM87" s="55">
        <f t="shared" si="30"/>
        <v>0.13500000000000001</v>
      </c>
      <c r="AN87" s="57">
        <f t="shared" si="31"/>
        <v>0.50654404573055889</v>
      </c>
      <c r="AO87" s="53">
        <f t="shared" si="32"/>
        <v>0.413054075133238</v>
      </c>
      <c r="AP87" s="57">
        <f t="shared" si="33"/>
        <v>0.39743353806752402</v>
      </c>
      <c r="AQ87" s="54">
        <f t="shared" si="34"/>
        <v>1</v>
      </c>
      <c r="AS87" s="61" t="str">
        <f t="shared" si="35"/>
        <v/>
      </c>
      <c r="AT87" s="61">
        <f t="shared" si="36"/>
        <v>50.914000000000001</v>
      </c>
    </row>
    <row r="88" spans="1:46" x14ac:dyDescent="0.3">
      <c r="A88" s="55">
        <v>309</v>
      </c>
      <c r="B88" s="57">
        <v>10</v>
      </c>
      <c r="C88" s="55">
        <v>126</v>
      </c>
      <c r="D88" s="55">
        <v>4</v>
      </c>
      <c r="E88" s="57">
        <v>2.94</v>
      </c>
      <c r="F88" s="55">
        <v>10</v>
      </c>
      <c r="G88" s="55">
        <v>92</v>
      </c>
      <c r="H88" s="55">
        <v>14</v>
      </c>
      <c r="I88" s="55">
        <v>1.6999999999999999E-3</v>
      </c>
      <c r="J88" s="55">
        <v>42</v>
      </c>
      <c r="K88" s="57">
        <v>67.215000000000003</v>
      </c>
      <c r="L88" s="53">
        <v>14.561</v>
      </c>
      <c r="M88" s="60">
        <f t="shared" si="19"/>
        <v>52.654000000000003</v>
      </c>
      <c r="N88" s="54">
        <f t="shared" si="20"/>
        <v>0</v>
      </c>
      <c r="P88" s="6"/>
      <c r="R88" s="6"/>
      <c r="T88" s="6"/>
      <c r="V88" s="6"/>
      <c r="X88" s="6"/>
      <c r="Z88" s="6"/>
      <c r="AB88" s="8"/>
      <c r="AD88" s="55">
        <f t="shared" si="21"/>
        <v>0.23965517241379311</v>
      </c>
      <c r="AE88" s="57">
        <f t="shared" si="22"/>
        <v>0.5679012345679012</v>
      </c>
      <c r="AF88" s="55">
        <f t="shared" si="23"/>
        <v>0.27331887201735355</v>
      </c>
      <c r="AG88" s="55">
        <f t="shared" si="24"/>
        <v>0.29457364341085268</v>
      </c>
      <c r="AH88" s="57">
        <f t="shared" si="25"/>
        <v>1</v>
      </c>
      <c r="AI88" s="55">
        <f t="shared" si="26"/>
        <v>9.8231827111984291E-2</v>
      </c>
      <c r="AJ88" s="55">
        <f t="shared" si="27"/>
        <v>0.27124773960216997</v>
      </c>
      <c r="AK88" s="55">
        <f t="shared" si="28"/>
        <v>8.3333333333333329E-2</v>
      </c>
      <c r="AL88" s="55">
        <f t="shared" si="29"/>
        <v>0.13224968740982976</v>
      </c>
      <c r="AM88" s="55">
        <f t="shared" si="30"/>
        <v>0.105</v>
      </c>
      <c r="AN88" s="57">
        <f t="shared" si="31"/>
        <v>0.20051357021154531</v>
      </c>
      <c r="AO88" s="53">
        <f t="shared" si="32"/>
        <v>0.11771253087222151</v>
      </c>
      <c r="AP88" s="57">
        <f t="shared" si="33"/>
        <v>0.19731545168043066</v>
      </c>
      <c r="AQ88" s="54">
        <f t="shared" si="34"/>
        <v>0</v>
      </c>
      <c r="AS88" s="61">
        <f t="shared" si="35"/>
        <v>14.561</v>
      </c>
      <c r="AT88" s="61" t="str">
        <f t="shared" si="36"/>
        <v/>
      </c>
    </row>
    <row r="89" spans="1:46" x14ac:dyDescent="0.3">
      <c r="A89" s="55">
        <v>330</v>
      </c>
      <c r="B89" s="57">
        <v>4</v>
      </c>
      <c r="C89" s="55">
        <v>155</v>
      </c>
      <c r="D89" s="55">
        <v>3.5</v>
      </c>
      <c r="E89" s="57">
        <v>2.94</v>
      </c>
      <c r="F89" s="55">
        <v>15</v>
      </c>
      <c r="G89" s="55">
        <v>96</v>
      </c>
      <c r="H89" s="55">
        <v>11</v>
      </c>
      <c r="I89" s="55">
        <v>5.0999999999999995E-3</v>
      </c>
      <c r="J89" s="55">
        <v>74</v>
      </c>
      <c r="K89" s="57">
        <v>22.873000000000001</v>
      </c>
      <c r="L89" s="53">
        <v>17.529</v>
      </c>
      <c r="M89" s="60">
        <f t="shared" si="19"/>
        <v>5.3440000000000012</v>
      </c>
      <c r="N89" s="54">
        <f t="shared" si="20"/>
        <v>0</v>
      </c>
      <c r="P89" s="6"/>
      <c r="R89" s="6"/>
      <c r="T89" s="6"/>
      <c r="V89" s="6"/>
      <c r="X89" s="6"/>
      <c r="Z89" s="6"/>
      <c r="AB89" s="8"/>
      <c r="AD89" s="55">
        <f t="shared" si="21"/>
        <v>0.27586206896551724</v>
      </c>
      <c r="AE89" s="57">
        <f t="shared" si="22"/>
        <v>0.19753086419753088</v>
      </c>
      <c r="AF89" s="55">
        <f t="shared" si="23"/>
        <v>0.33622559652928419</v>
      </c>
      <c r="AG89" s="55">
        <f t="shared" si="24"/>
        <v>0.25581395348837205</v>
      </c>
      <c r="AH89" s="57">
        <f t="shared" si="25"/>
        <v>1</v>
      </c>
      <c r="AI89" s="55">
        <f t="shared" si="26"/>
        <v>0.14734774066797643</v>
      </c>
      <c r="AJ89" s="55">
        <f t="shared" si="27"/>
        <v>0.28933092224231466</v>
      </c>
      <c r="AK89" s="55">
        <f t="shared" si="28"/>
        <v>3.3333333333333333E-2</v>
      </c>
      <c r="AL89" s="55">
        <f t="shared" si="29"/>
        <v>0.54102144849475808</v>
      </c>
      <c r="AM89" s="55">
        <f t="shared" si="30"/>
        <v>0.185</v>
      </c>
      <c r="AN89" s="57">
        <f t="shared" si="31"/>
        <v>4.7265048540333934E-2</v>
      </c>
      <c r="AO89" s="53">
        <f t="shared" si="32"/>
        <v>0.14182536071753543</v>
      </c>
      <c r="AP89" s="57">
        <f t="shared" si="33"/>
        <v>1.5930160336776248E-2</v>
      </c>
      <c r="AQ89" s="54">
        <f t="shared" si="34"/>
        <v>0</v>
      </c>
      <c r="AS89" s="61">
        <f t="shared" si="35"/>
        <v>17.529</v>
      </c>
      <c r="AT89" s="61" t="str">
        <f t="shared" si="36"/>
        <v/>
      </c>
    </row>
    <row r="90" spans="1:46" x14ac:dyDescent="0.3">
      <c r="A90" s="55">
        <v>250</v>
      </c>
      <c r="B90" s="57">
        <v>6</v>
      </c>
      <c r="C90" s="55">
        <v>155</v>
      </c>
      <c r="D90" s="55">
        <v>2.2999999999999998</v>
      </c>
      <c r="E90" s="57">
        <v>2.94</v>
      </c>
      <c r="F90" s="55">
        <v>5</v>
      </c>
      <c r="G90" s="55">
        <v>37</v>
      </c>
      <c r="H90" s="55">
        <v>16</v>
      </c>
      <c r="I90" s="55">
        <v>2.2000000000000001E-3</v>
      </c>
      <c r="J90" s="55">
        <v>99</v>
      </c>
      <c r="K90" s="57">
        <v>21.030999999999999</v>
      </c>
      <c r="L90" s="53">
        <v>6.3049999999999997</v>
      </c>
      <c r="M90" s="60">
        <f t="shared" si="19"/>
        <v>14.725999999999999</v>
      </c>
      <c r="N90" s="54">
        <f t="shared" si="20"/>
        <v>0</v>
      </c>
      <c r="P90" s="6"/>
      <c r="R90" s="6"/>
      <c r="T90" s="6"/>
      <c r="V90" s="6"/>
      <c r="X90" s="6"/>
      <c r="Z90" s="6"/>
      <c r="AB90" s="8"/>
      <c r="AD90" s="55">
        <f t="shared" si="21"/>
        <v>0.13793103448275862</v>
      </c>
      <c r="AE90" s="57">
        <f t="shared" si="22"/>
        <v>0.32098765432098769</v>
      </c>
      <c r="AF90" s="55">
        <f t="shared" si="23"/>
        <v>0.33622559652928419</v>
      </c>
      <c r="AG90" s="55">
        <f t="shared" si="24"/>
        <v>0.16279069767441856</v>
      </c>
      <c r="AH90" s="57">
        <f t="shared" si="25"/>
        <v>1</v>
      </c>
      <c r="AI90" s="55">
        <f t="shared" si="26"/>
        <v>4.9115913555992145E-2</v>
      </c>
      <c r="AJ90" s="55">
        <f t="shared" si="27"/>
        <v>2.2603978300180832E-2</v>
      </c>
      <c r="AK90" s="55">
        <f t="shared" si="28"/>
        <v>0.11666666666666667</v>
      </c>
      <c r="AL90" s="55">
        <f t="shared" si="29"/>
        <v>0.19236318168702515</v>
      </c>
      <c r="AM90" s="55">
        <f t="shared" si="30"/>
        <v>0.2475</v>
      </c>
      <c r="AN90" s="57">
        <f t="shared" si="31"/>
        <v>4.0898989794260869E-2</v>
      </c>
      <c r="AO90" s="53">
        <f t="shared" si="32"/>
        <v>5.0638567528922394E-2</v>
      </c>
      <c r="AP90" s="57">
        <f t="shared" si="33"/>
        <v>5.1900500716953069E-2</v>
      </c>
      <c r="AQ90" s="54">
        <f t="shared" si="34"/>
        <v>0</v>
      </c>
      <c r="AS90" s="61">
        <f t="shared" si="35"/>
        <v>6.3049999999999997</v>
      </c>
      <c r="AT90" s="61" t="str">
        <f t="shared" si="36"/>
        <v/>
      </c>
    </row>
    <row r="91" spans="1:46" x14ac:dyDescent="0.3">
      <c r="A91" s="55">
        <v>360</v>
      </c>
      <c r="B91" s="57">
        <v>10</v>
      </c>
      <c r="C91" s="55">
        <v>160</v>
      </c>
      <c r="D91" s="55">
        <v>4</v>
      </c>
      <c r="E91" s="57">
        <v>2.94</v>
      </c>
      <c r="F91" s="55">
        <v>10</v>
      </c>
      <c r="G91" s="55">
        <v>77</v>
      </c>
      <c r="H91" s="55">
        <v>17</v>
      </c>
      <c r="I91" s="55">
        <v>2.2000000000000001E-3</v>
      </c>
      <c r="J91" s="55">
        <v>63</v>
      </c>
      <c r="K91" s="57">
        <v>96.254999999999995</v>
      </c>
      <c r="L91" s="53">
        <v>45.454999999999998</v>
      </c>
      <c r="M91" s="60">
        <f t="shared" si="19"/>
        <v>50.8</v>
      </c>
      <c r="N91" s="54">
        <f t="shared" si="20"/>
        <v>1</v>
      </c>
      <c r="P91" s="6"/>
      <c r="R91" s="6"/>
      <c r="T91" s="6"/>
      <c r="V91" s="6"/>
      <c r="X91" s="6"/>
      <c r="Z91" s="6"/>
      <c r="AB91" s="8"/>
      <c r="AD91" s="55">
        <f t="shared" si="21"/>
        <v>0.32758620689655171</v>
      </c>
      <c r="AE91" s="57">
        <f t="shared" si="22"/>
        <v>0.5679012345679012</v>
      </c>
      <c r="AF91" s="55">
        <f t="shared" si="23"/>
        <v>0.34707158351409978</v>
      </c>
      <c r="AG91" s="55">
        <f t="shared" si="24"/>
        <v>0.29457364341085268</v>
      </c>
      <c r="AH91" s="57">
        <f t="shared" si="25"/>
        <v>1</v>
      </c>
      <c r="AI91" s="55">
        <f t="shared" si="26"/>
        <v>9.8231827111984291E-2</v>
      </c>
      <c r="AJ91" s="55">
        <f t="shared" si="27"/>
        <v>0.2034358047016275</v>
      </c>
      <c r="AK91" s="55">
        <f t="shared" si="28"/>
        <v>0.13333333333333333</v>
      </c>
      <c r="AL91" s="55">
        <f t="shared" si="29"/>
        <v>0.19236318168702515</v>
      </c>
      <c r="AM91" s="55">
        <f t="shared" si="30"/>
        <v>0.1575</v>
      </c>
      <c r="AN91" s="57">
        <f t="shared" si="31"/>
        <v>0.30087749311380452</v>
      </c>
      <c r="AO91" s="53">
        <f t="shared" si="32"/>
        <v>0.36870369166774991</v>
      </c>
      <c r="AP91" s="57">
        <f t="shared" si="33"/>
        <v>0.19020726461319043</v>
      </c>
      <c r="AQ91" s="54">
        <f t="shared" si="34"/>
        <v>1</v>
      </c>
      <c r="AS91" s="61" t="str">
        <f t="shared" si="35"/>
        <v/>
      </c>
      <c r="AT91" s="61">
        <f t="shared" si="36"/>
        <v>45.454999999999998</v>
      </c>
    </row>
    <row r="92" spans="1:46" x14ac:dyDescent="0.3">
      <c r="A92" s="55">
        <v>300</v>
      </c>
      <c r="B92" s="57">
        <v>3</v>
      </c>
      <c r="C92" s="55">
        <v>160</v>
      </c>
      <c r="D92" s="55">
        <v>4</v>
      </c>
      <c r="E92" s="57">
        <v>2.94</v>
      </c>
      <c r="F92" s="55">
        <v>5</v>
      </c>
      <c r="G92" s="55">
        <v>45</v>
      </c>
      <c r="H92" s="55">
        <v>14</v>
      </c>
      <c r="I92" s="55">
        <v>2.1000000000000003E-3</v>
      </c>
      <c r="J92" s="55">
        <v>96</v>
      </c>
      <c r="K92" s="57">
        <v>34.765999999999998</v>
      </c>
      <c r="L92" s="53">
        <v>18.919</v>
      </c>
      <c r="M92" s="60">
        <f t="shared" si="19"/>
        <v>15.846999999999998</v>
      </c>
      <c r="N92" s="54">
        <f t="shared" si="20"/>
        <v>0</v>
      </c>
      <c r="P92" s="6"/>
      <c r="R92" s="6"/>
      <c r="T92" s="6"/>
      <c r="V92" s="6"/>
      <c r="X92" s="6"/>
      <c r="Z92" s="6"/>
      <c r="AB92" s="8"/>
      <c r="AD92" s="55">
        <f t="shared" si="21"/>
        <v>0.22413793103448276</v>
      </c>
      <c r="AE92" s="57">
        <f t="shared" si="22"/>
        <v>0.13580246913580249</v>
      </c>
      <c r="AF92" s="55">
        <f t="shared" si="23"/>
        <v>0.34707158351409978</v>
      </c>
      <c r="AG92" s="55">
        <f t="shared" si="24"/>
        <v>0.29457364341085268</v>
      </c>
      <c r="AH92" s="57">
        <f t="shared" si="25"/>
        <v>1</v>
      </c>
      <c r="AI92" s="55">
        <f t="shared" si="26"/>
        <v>4.9115913555992145E-2</v>
      </c>
      <c r="AJ92" s="55">
        <f t="shared" si="27"/>
        <v>5.8770343580470168E-2</v>
      </c>
      <c r="AK92" s="55">
        <f t="shared" si="28"/>
        <v>8.3333333333333329E-2</v>
      </c>
      <c r="AL92" s="55">
        <f t="shared" si="29"/>
        <v>0.1803404828315861</v>
      </c>
      <c r="AM92" s="55">
        <f t="shared" si="30"/>
        <v>0.24</v>
      </c>
      <c r="AN92" s="57">
        <f t="shared" si="31"/>
        <v>8.83679457537144E-2</v>
      </c>
      <c r="AO92" s="53">
        <f t="shared" si="32"/>
        <v>0.15311809437150659</v>
      </c>
      <c r="AP92" s="57">
        <f t="shared" si="33"/>
        <v>5.6198385130316761E-2</v>
      </c>
      <c r="AQ92" s="54">
        <f t="shared" si="34"/>
        <v>0</v>
      </c>
      <c r="AS92" s="61">
        <f t="shared" si="35"/>
        <v>18.919</v>
      </c>
      <c r="AT92" s="61" t="str">
        <f t="shared" si="36"/>
        <v/>
      </c>
    </row>
    <row r="93" spans="1:46" x14ac:dyDescent="0.3">
      <c r="A93" s="55">
        <v>270</v>
      </c>
      <c r="B93" s="57">
        <v>6</v>
      </c>
      <c r="C93" s="55">
        <v>148</v>
      </c>
      <c r="D93" s="55">
        <v>2.4</v>
      </c>
      <c r="E93" s="57">
        <v>2.94</v>
      </c>
      <c r="F93" s="55">
        <v>7</v>
      </c>
      <c r="G93" s="55">
        <v>40</v>
      </c>
      <c r="H93" s="55">
        <v>17</v>
      </c>
      <c r="I93" s="55">
        <v>2.5000000000000001E-3</v>
      </c>
      <c r="J93" s="55">
        <v>54</v>
      </c>
      <c r="K93" s="57">
        <v>50.927999999999997</v>
      </c>
      <c r="L93" s="53">
        <v>15.417</v>
      </c>
      <c r="M93" s="60">
        <f t="shared" si="19"/>
        <v>35.510999999999996</v>
      </c>
      <c r="N93" s="54">
        <f t="shared" si="20"/>
        <v>0</v>
      </c>
      <c r="P93" s="6"/>
      <c r="R93" s="6"/>
      <c r="T93" s="6"/>
      <c r="V93" s="6"/>
      <c r="X93" s="6"/>
      <c r="Z93" s="6"/>
      <c r="AB93" s="8"/>
      <c r="AD93" s="55">
        <f t="shared" si="21"/>
        <v>0.17241379310344829</v>
      </c>
      <c r="AE93" s="57">
        <f t="shared" si="22"/>
        <v>0.32098765432098769</v>
      </c>
      <c r="AF93" s="55">
        <f t="shared" si="23"/>
        <v>0.32104121475054231</v>
      </c>
      <c r="AG93" s="55">
        <f t="shared" si="24"/>
        <v>0.1705426356589147</v>
      </c>
      <c r="AH93" s="57">
        <f t="shared" si="25"/>
        <v>1</v>
      </c>
      <c r="AI93" s="55">
        <f t="shared" si="26"/>
        <v>6.8762278978389005E-2</v>
      </c>
      <c r="AJ93" s="55">
        <f t="shared" si="27"/>
        <v>3.6166365280289332E-2</v>
      </c>
      <c r="AK93" s="55">
        <f t="shared" si="28"/>
        <v>0.13333333333333333</v>
      </c>
      <c r="AL93" s="55">
        <f t="shared" si="29"/>
        <v>0.22843127825334233</v>
      </c>
      <c r="AM93" s="55">
        <f t="shared" si="30"/>
        <v>0.13500000000000001</v>
      </c>
      <c r="AN93" s="57">
        <f t="shared" si="31"/>
        <v>0.14422475436068111</v>
      </c>
      <c r="AO93" s="53">
        <f t="shared" si="32"/>
        <v>0.12466690497855194</v>
      </c>
      <c r="AP93" s="57">
        <f t="shared" si="33"/>
        <v>0.13158964213690352</v>
      </c>
      <c r="AQ93" s="54">
        <f t="shared" si="34"/>
        <v>0</v>
      </c>
      <c r="AS93" s="61">
        <f t="shared" si="35"/>
        <v>15.417</v>
      </c>
      <c r="AT93" s="61" t="str">
        <f t="shared" si="36"/>
        <v/>
      </c>
    </row>
    <row r="94" spans="1:46" x14ac:dyDescent="0.3">
      <c r="A94" s="55">
        <v>200</v>
      </c>
      <c r="B94" s="57">
        <v>3</v>
      </c>
      <c r="C94" s="55">
        <v>156</v>
      </c>
      <c r="D94" s="55">
        <v>4</v>
      </c>
      <c r="E94" s="57">
        <v>2.94</v>
      </c>
      <c r="F94" s="55">
        <v>7</v>
      </c>
      <c r="G94" s="55">
        <v>53</v>
      </c>
      <c r="H94" s="55">
        <v>19</v>
      </c>
      <c r="I94" s="55">
        <v>1.8E-3</v>
      </c>
      <c r="J94" s="55">
        <v>75</v>
      </c>
      <c r="K94" s="57">
        <v>75.986999999999995</v>
      </c>
      <c r="L94" s="53">
        <v>18.495000000000001</v>
      </c>
      <c r="M94" s="60">
        <f t="shared" si="19"/>
        <v>57.49199999999999</v>
      </c>
      <c r="N94" s="54">
        <f t="shared" si="20"/>
        <v>0</v>
      </c>
      <c r="P94" s="6"/>
      <c r="R94" s="6"/>
      <c r="T94" s="6"/>
      <c r="V94" s="6"/>
      <c r="X94" s="6"/>
      <c r="Z94" s="6"/>
      <c r="AB94" s="8"/>
      <c r="AD94" s="55">
        <f t="shared" si="21"/>
        <v>5.1724137931034482E-2</v>
      </c>
      <c r="AE94" s="57">
        <f t="shared" si="22"/>
        <v>0.13580246913580249</v>
      </c>
      <c r="AF94" s="55">
        <f t="shared" si="23"/>
        <v>0.33839479392624727</v>
      </c>
      <c r="AG94" s="55">
        <f t="shared" si="24"/>
        <v>0.29457364341085268</v>
      </c>
      <c r="AH94" s="57">
        <f t="shared" si="25"/>
        <v>1</v>
      </c>
      <c r="AI94" s="55">
        <f t="shared" si="26"/>
        <v>6.8762278978389005E-2</v>
      </c>
      <c r="AJ94" s="55">
        <f t="shared" si="27"/>
        <v>9.49367088607595E-2</v>
      </c>
      <c r="AK94" s="55">
        <f t="shared" si="28"/>
        <v>0.16666666666666666</v>
      </c>
      <c r="AL94" s="55">
        <f t="shared" si="29"/>
        <v>0.14427238626526884</v>
      </c>
      <c r="AM94" s="55">
        <f t="shared" si="30"/>
        <v>0.1875</v>
      </c>
      <c r="AN94" s="57">
        <f t="shared" si="31"/>
        <v>0.23083011055929384</v>
      </c>
      <c r="AO94" s="53">
        <f t="shared" si="32"/>
        <v>0.1496734043936046</v>
      </c>
      <c r="AP94" s="57">
        <f t="shared" si="33"/>
        <v>0.2158642159907371</v>
      </c>
      <c r="AQ94" s="54">
        <f t="shared" si="34"/>
        <v>0</v>
      </c>
      <c r="AS94" s="61">
        <f t="shared" si="35"/>
        <v>18.495000000000001</v>
      </c>
      <c r="AT94" s="61" t="str">
        <f t="shared" si="36"/>
        <v/>
      </c>
    </row>
    <row r="95" spans="1:46" x14ac:dyDescent="0.3">
      <c r="A95" s="55">
        <v>296</v>
      </c>
      <c r="B95" s="57">
        <v>8</v>
      </c>
      <c r="C95" s="55">
        <v>135</v>
      </c>
      <c r="D95" s="55">
        <v>4.7</v>
      </c>
      <c r="E95" s="57">
        <v>2.94</v>
      </c>
      <c r="F95" s="55">
        <v>3</v>
      </c>
      <c r="G95" s="55">
        <v>46</v>
      </c>
      <c r="H95" s="55">
        <v>16</v>
      </c>
      <c r="I95" s="55">
        <v>1E-3</v>
      </c>
      <c r="J95" s="55">
        <v>84</v>
      </c>
      <c r="K95" s="57">
        <v>20.556000000000001</v>
      </c>
      <c r="L95" s="53">
        <v>6.1470000000000002</v>
      </c>
      <c r="M95" s="60">
        <f t="shared" si="19"/>
        <v>14.409000000000001</v>
      </c>
      <c r="N95" s="54">
        <f t="shared" si="20"/>
        <v>0</v>
      </c>
      <c r="P95" s="6"/>
      <c r="R95" s="6"/>
      <c r="T95" s="6"/>
      <c r="V95" s="6"/>
      <c r="X95" s="6"/>
      <c r="Z95" s="6"/>
      <c r="AB95" s="8"/>
      <c r="AD95" s="55">
        <f t="shared" si="21"/>
        <v>0.21724137931034482</v>
      </c>
      <c r="AE95" s="57">
        <f t="shared" si="22"/>
        <v>0.44444444444444448</v>
      </c>
      <c r="AF95" s="55">
        <f t="shared" si="23"/>
        <v>0.29284164859002171</v>
      </c>
      <c r="AG95" s="55">
        <f t="shared" si="24"/>
        <v>0.34883720930232559</v>
      </c>
      <c r="AH95" s="57">
        <f t="shared" si="25"/>
        <v>1</v>
      </c>
      <c r="AI95" s="55">
        <f t="shared" si="26"/>
        <v>2.9469548133595286E-2</v>
      </c>
      <c r="AJ95" s="55">
        <f t="shared" si="27"/>
        <v>6.3291139240506333E-2</v>
      </c>
      <c r="AK95" s="55">
        <f t="shared" si="28"/>
        <v>0.11666666666666667</v>
      </c>
      <c r="AL95" s="55">
        <f t="shared" si="29"/>
        <v>4.8090795421756288E-2</v>
      </c>
      <c r="AM95" s="55">
        <f t="shared" si="30"/>
        <v>0.21</v>
      </c>
      <c r="AN95" s="57">
        <f t="shared" si="31"/>
        <v>3.925736226745051E-2</v>
      </c>
      <c r="AO95" s="53">
        <f t="shared" si="32"/>
        <v>4.9354933056024959E-2</v>
      </c>
      <c r="AP95" s="57">
        <f t="shared" si="33"/>
        <v>5.0685131083557627E-2</v>
      </c>
      <c r="AQ95" s="54">
        <f t="shared" si="34"/>
        <v>0</v>
      </c>
      <c r="AS95" s="61">
        <f t="shared" si="35"/>
        <v>6.1470000000000002</v>
      </c>
      <c r="AT95" s="61" t="str">
        <f t="shared" si="36"/>
        <v/>
      </c>
    </row>
    <row r="96" spans="1:46" x14ac:dyDescent="0.3">
      <c r="A96" s="55">
        <v>270</v>
      </c>
      <c r="B96" s="57">
        <v>4</v>
      </c>
      <c r="C96" s="55">
        <v>155</v>
      </c>
      <c r="D96" s="55">
        <v>4.5</v>
      </c>
      <c r="E96" s="57">
        <v>2.94</v>
      </c>
      <c r="F96" s="55">
        <v>7</v>
      </c>
      <c r="G96" s="55">
        <v>58</v>
      </c>
      <c r="H96" s="55">
        <v>10</v>
      </c>
      <c r="I96" s="55">
        <v>3.3E-3</v>
      </c>
      <c r="J96" s="55">
        <v>65</v>
      </c>
      <c r="K96" s="57">
        <v>17.385999999999999</v>
      </c>
      <c r="L96" s="53">
        <v>13.582000000000001</v>
      </c>
      <c r="M96" s="60">
        <f t="shared" si="19"/>
        <v>3.8039999999999985</v>
      </c>
      <c r="N96" s="54">
        <f t="shared" si="20"/>
        <v>0</v>
      </c>
      <c r="P96" s="6"/>
      <c r="R96" s="6"/>
      <c r="T96" s="6"/>
      <c r="V96" s="6"/>
      <c r="X96" s="6"/>
      <c r="Z96" s="6"/>
      <c r="AB96" s="8"/>
      <c r="AD96" s="55">
        <f t="shared" si="21"/>
        <v>0.17241379310344829</v>
      </c>
      <c r="AE96" s="57">
        <f t="shared" si="22"/>
        <v>0.19753086419753088</v>
      </c>
      <c r="AF96" s="55">
        <f t="shared" si="23"/>
        <v>0.33622559652928419</v>
      </c>
      <c r="AG96" s="55">
        <f t="shared" si="24"/>
        <v>0.33333333333333331</v>
      </c>
      <c r="AH96" s="57">
        <f t="shared" si="25"/>
        <v>1</v>
      </c>
      <c r="AI96" s="55">
        <f t="shared" si="26"/>
        <v>6.8762278978389005E-2</v>
      </c>
      <c r="AJ96" s="55">
        <f t="shared" si="27"/>
        <v>0.11754068716094034</v>
      </c>
      <c r="AK96" s="55">
        <f t="shared" si="28"/>
        <v>1.6666666666666666E-2</v>
      </c>
      <c r="AL96" s="55">
        <f t="shared" si="29"/>
        <v>0.32461286909685488</v>
      </c>
      <c r="AM96" s="55">
        <f t="shared" si="30"/>
        <v>0.16250000000000001</v>
      </c>
      <c r="AN96" s="57">
        <f t="shared" si="31"/>
        <v>2.8301658562210775E-2</v>
      </c>
      <c r="AO96" s="53">
        <f t="shared" si="32"/>
        <v>0.10975887170154688</v>
      </c>
      <c r="AP96" s="57">
        <f t="shared" si="33"/>
        <v>1.0025840982110675E-2</v>
      </c>
      <c r="AQ96" s="54">
        <f t="shared" si="34"/>
        <v>0</v>
      </c>
      <c r="AS96" s="61">
        <f t="shared" si="35"/>
        <v>13.582000000000001</v>
      </c>
      <c r="AT96" s="61" t="str">
        <f t="shared" si="36"/>
        <v/>
      </c>
    </row>
    <row r="97" spans="1:46" x14ac:dyDescent="0.3">
      <c r="A97" s="55">
        <v>310</v>
      </c>
      <c r="B97" s="57">
        <v>4</v>
      </c>
      <c r="C97" s="55">
        <v>165</v>
      </c>
      <c r="D97" s="55">
        <v>2</v>
      </c>
      <c r="E97" s="57">
        <v>2.94</v>
      </c>
      <c r="F97" s="55">
        <v>17</v>
      </c>
      <c r="G97" s="55">
        <v>86</v>
      </c>
      <c r="H97" s="55">
        <v>15</v>
      </c>
      <c r="I97" s="55">
        <v>3.3999999999999998E-3</v>
      </c>
      <c r="J97" s="55">
        <v>114</v>
      </c>
      <c r="K97" s="57">
        <v>24.940999999999999</v>
      </c>
      <c r="L97" s="53">
        <v>19.356999999999999</v>
      </c>
      <c r="M97" s="60">
        <f t="shared" si="19"/>
        <v>5.5839999999999996</v>
      </c>
      <c r="N97" s="54">
        <f t="shared" si="20"/>
        <v>0</v>
      </c>
      <c r="P97" s="6"/>
      <c r="R97" s="6"/>
      <c r="T97" s="6"/>
      <c r="V97" s="6"/>
      <c r="X97" s="6"/>
      <c r="Z97" s="6"/>
      <c r="AB97" s="8"/>
      <c r="AD97" s="55">
        <f t="shared" si="21"/>
        <v>0.2413793103448276</v>
      </c>
      <c r="AE97" s="57">
        <f t="shared" si="22"/>
        <v>0.19753086419753088</v>
      </c>
      <c r="AF97" s="55">
        <f t="shared" si="23"/>
        <v>0.35791757049891543</v>
      </c>
      <c r="AG97" s="55">
        <f t="shared" si="24"/>
        <v>0.13953488372093023</v>
      </c>
      <c r="AH97" s="57">
        <f t="shared" si="25"/>
        <v>1</v>
      </c>
      <c r="AI97" s="55">
        <f t="shared" si="26"/>
        <v>0.1669941060903733</v>
      </c>
      <c r="AJ97" s="55">
        <f t="shared" si="27"/>
        <v>0.24412296564195299</v>
      </c>
      <c r="AK97" s="55">
        <f t="shared" si="28"/>
        <v>0.1</v>
      </c>
      <c r="AL97" s="55">
        <f t="shared" si="29"/>
        <v>0.33663556795229393</v>
      </c>
      <c r="AM97" s="55">
        <f t="shared" si="30"/>
        <v>0.28499999999999998</v>
      </c>
      <c r="AN97" s="57">
        <f t="shared" si="31"/>
        <v>5.4412176383373596E-2</v>
      </c>
      <c r="AO97" s="53">
        <f t="shared" si="32"/>
        <v>0.15667652411282987</v>
      </c>
      <c r="AP97" s="57">
        <f t="shared" si="33"/>
        <v>1.6850314002438409E-2</v>
      </c>
      <c r="AQ97" s="54">
        <f t="shared" si="34"/>
        <v>0</v>
      </c>
      <c r="AS97" s="61">
        <f t="shared" si="35"/>
        <v>19.356999999999999</v>
      </c>
      <c r="AT97" s="61" t="str">
        <f t="shared" si="36"/>
        <v/>
      </c>
    </row>
    <row r="98" spans="1:46" x14ac:dyDescent="0.3">
      <c r="A98" s="55">
        <v>230</v>
      </c>
      <c r="B98" s="57">
        <v>5</v>
      </c>
      <c r="C98" s="55">
        <v>164</v>
      </c>
      <c r="D98" s="55">
        <v>2.5</v>
      </c>
      <c r="E98" s="57">
        <v>2.94</v>
      </c>
      <c r="F98" s="55">
        <v>7</v>
      </c>
      <c r="G98" s="55">
        <v>65</v>
      </c>
      <c r="H98" s="55">
        <v>14</v>
      </c>
      <c r="I98" s="55">
        <v>2E-3</v>
      </c>
      <c r="J98" s="55">
        <v>55</v>
      </c>
      <c r="K98" s="57">
        <v>87.724000000000004</v>
      </c>
      <c r="L98" s="53">
        <v>27.88</v>
      </c>
      <c r="M98" s="60">
        <f t="shared" si="19"/>
        <v>59.844000000000008</v>
      </c>
      <c r="N98" s="54">
        <f t="shared" si="20"/>
        <v>0</v>
      </c>
      <c r="P98" s="6"/>
      <c r="R98" s="6"/>
      <c r="T98" s="6"/>
      <c r="V98" s="6"/>
      <c r="X98" s="6"/>
      <c r="Z98" s="6"/>
      <c r="AB98" s="8"/>
      <c r="AD98" s="55">
        <f t="shared" si="21"/>
        <v>0.10344827586206896</v>
      </c>
      <c r="AE98" s="57">
        <f t="shared" si="22"/>
        <v>0.2592592592592593</v>
      </c>
      <c r="AF98" s="55">
        <f t="shared" si="23"/>
        <v>0.35574837310195229</v>
      </c>
      <c r="AG98" s="55">
        <f t="shared" si="24"/>
        <v>0.17829457364341084</v>
      </c>
      <c r="AH98" s="57">
        <f t="shared" si="25"/>
        <v>1</v>
      </c>
      <c r="AI98" s="55">
        <f t="shared" si="26"/>
        <v>6.8762278978389005E-2</v>
      </c>
      <c r="AJ98" s="55">
        <f t="shared" si="27"/>
        <v>0.14918625678119349</v>
      </c>
      <c r="AK98" s="55">
        <f t="shared" si="28"/>
        <v>8.3333333333333329E-2</v>
      </c>
      <c r="AL98" s="55">
        <f t="shared" si="29"/>
        <v>0.168317783976147</v>
      </c>
      <c r="AM98" s="55">
        <f t="shared" si="30"/>
        <v>0.13750000000000001</v>
      </c>
      <c r="AN98" s="57">
        <f t="shared" si="31"/>
        <v>0.27139386273229033</v>
      </c>
      <c r="AO98" s="53">
        <f t="shared" si="32"/>
        <v>0.22591966722994933</v>
      </c>
      <c r="AP98" s="57">
        <f t="shared" si="33"/>
        <v>0.2248817219142264</v>
      </c>
      <c r="AQ98" s="54">
        <f t="shared" si="34"/>
        <v>0</v>
      </c>
      <c r="AS98" s="61">
        <f t="shared" si="35"/>
        <v>27.88</v>
      </c>
      <c r="AT98" s="61" t="str">
        <f t="shared" si="36"/>
        <v/>
      </c>
    </row>
    <row r="99" spans="1:46" x14ac:dyDescent="0.3">
      <c r="A99" s="55">
        <v>330</v>
      </c>
      <c r="B99" s="57">
        <v>7</v>
      </c>
      <c r="C99" s="55">
        <v>0</v>
      </c>
      <c r="D99" s="55">
        <v>5</v>
      </c>
      <c r="E99" s="57">
        <v>2.94</v>
      </c>
      <c r="F99" s="55">
        <v>21</v>
      </c>
      <c r="G99" s="55">
        <v>81</v>
      </c>
      <c r="H99" s="55">
        <v>22</v>
      </c>
      <c r="I99" s="55">
        <v>3.2000000000000002E-3</v>
      </c>
      <c r="J99" s="55">
        <v>0</v>
      </c>
      <c r="K99" s="57">
        <v>11.42</v>
      </c>
      <c r="L99" s="53">
        <v>4.9020000000000001</v>
      </c>
      <c r="M99" s="60">
        <f t="shared" si="19"/>
        <v>6.5179999999999998</v>
      </c>
      <c r="N99" s="54">
        <f t="shared" si="20"/>
        <v>0</v>
      </c>
      <c r="P99" s="6"/>
      <c r="R99" s="6"/>
      <c r="T99" s="6"/>
      <c r="V99" s="6"/>
      <c r="X99" s="6"/>
      <c r="Z99" s="6"/>
      <c r="AB99" s="8"/>
      <c r="AD99" s="55">
        <f t="shared" si="21"/>
        <v>0.27586206896551724</v>
      </c>
      <c r="AE99" s="57">
        <f t="shared" si="22"/>
        <v>0.38271604938271608</v>
      </c>
      <c r="AF99" s="55">
        <f t="shared" si="23"/>
        <v>0</v>
      </c>
      <c r="AG99" s="55">
        <f t="shared" si="24"/>
        <v>0.37209302325581395</v>
      </c>
      <c r="AH99" s="57">
        <f t="shared" si="25"/>
        <v>1</v>
      </c>
      <c r="AI99" s="55">
        <f t="shared" si="26"/>
        <v>0.206286836935167</v>
      </c>
      <c r="AJ99" s="55">
        <f t="shared" si="27"/>
        <v>0.22151898734177217</v>
      </c>
      <c r="AK99" s="55">
        <f t="shared" si="28"/>
        <v>0.21666666666666667</v>
      </c>
      <c r="AL99" s="55">
        <f t="shared" si="29"/>
        <v>0.31259017024141583</v>
      </c>
      <c r="AM99" s="55">
        <f t="shared" si="30"/>
        <v>0</v>
      </c>
      <c r="AN99" s="57">
        <f t="shared" si="31"/>
        <v>7.6828168254725326E-3</v>
      </c>
      <c r="AO99" s="53">
        <f t="shared" si="32"/>
        <v>3.9240218380345769E-2</v>
      </c>
      <c r="AP99" s="57">
        <f t="shared" si="33"/>
        <v>2.0431245351307005E-2</v>
      </c>
      <c r="AQ99" s="54">
        <f t="shared" si="34"/>
        <v>0</v>
      </c>
      <c r="AS99" s="61">
        <f t="shared" si="35"/>
        <v>4.9020000000000001</v>
      </c>
      <c r="AT99" s="61" t="str">
        <f t="shared" si="36"/>
        <v/>
      </c>
    </row>
    <row r="100" spans="1:46" x14ac:dyDescent="0.3">
      <c r="A100" s="55">
        <v>300</v>
      </c>
      <c r="B100" s="57">
        <v>10</v>
      </c>
      <c r="C100" s="55">
        <v>149</v>
      </c>
      <c r="D100" s="55">
        <v>6.3</v>
      </c>
      <c r="E100" s="57">
        <v>2.94</v>
      </c>
      <c r="F100" s="55">
        <v>10</v>
      </c>
      <c r="G100" s="55">
        <v>73</v>
      </c>
      <c r="H100" s="55">
        <v>18</v>
      </c>
      <c r="I100" s="55">
        <v>2E-3</v>
      </c>
      <c r="J100" s="55">
        <v>54</v>
      </c>
      <c r="K100" s="57">
        <v>67.581000000000003</v>
      </c>
      <c r="L100" s="53">
        <v>4.6340000000000003</v>
      </c>
      <c r="M100" s="60">
        <f t="shared" si="19"/>
        <v>62.947000000000003</v>
      </c>
      <c r="N100" s="54">
        <f t="shared" si="20"/>
        <v>0</v>
      </c>
      <c r="P100" s="6"/>
      <c r="R100" s="6"/>
      <c r="T100" s="6"/>
      <c r="V100" s="6"/>
      <c r="X100" s="6"/>
      <c r="Z100" s="6"/>
      <c r="AB100" s="8"/>
      <c r="AD100" s="55">
        <f t="shared" si="21"/>
        <v>0.22413793103448276</v>
      </c>
      <c r="AE100" s="57">
        <f t="shared" si="22"/>
        <v>0.5679012345679012</v>
      </c>
      <c r="AF100" s="55">
        <f t="shared" si="23"/>
        <v>0.3232104121475054</v>
      </c>
      <c r="AG100" s="55">
        <f t="shared" si="24"/>
        <v>0.47286821705426352</v>
      </c>
      <c r="AH100" s="57">
        <f t="shared" si="25"/>
        <v>1</v>
      </c>
      <c r="AI100" s="55">
        <f t="shared" si="26"/>
        <v>9.8231827111984291E-2</v>
      </c>
      <c r="AJ100" s="55">
        <f t="shared" si="27"/>
        <v>0.18535262206148284</v>
      </c>
      <c r="AK100" s="55">
        <f t="shared" si="28"/>
        <v>0.15</v>
      </c>
      <c r="AL100" s="55">
        <f t="shared" si="29"/>
        <v>0.168317783976147</v>
      </c>
      <c r="AM100" s="55">
        <f t="shared" si="30"/>
        <v>0.13500000000000001</v>
      </c>
      <c r="AN100" s="57">
        <f t="shared" si="31"/>
        <v>0.20177848742167709</v>
      </c>
      <c r="AO100" s="53">
        <f t="shared" si="32"/>
        <v>3.7062914337709613E-2</v>
      </c>
      <c r="AP100" s="57">
        <f t="shared" si="33"/>
        <v>0.2367785420165168</v>
      </c>
      <c r="AQ100" s="54">
        <f t="shared" si="34"/>
        <v>0</v>
      </c>
      <c r="AS100" s="61">
        <f t="shared" si="35"/>
        <v>4.6340000000000003</v>
      </c>
      <c r="AT100" s="61" t="str">
        <f t="shared" si="36"/>
        <v/>
      </c>
    </row>
    <row r="101" spans="1:46" x14ac:dyDescent="0.3">
      <c r="A101" s="55">
        <v>238</v>
      </c>
      <c r="B101" s="57">
        <v>5</v>
      </c>
      <c r="C101" s="55">
        <v>170</v>
      </c>
      <c r="D101" s="55">
        <v>4.5999999999999996</v>
      </c>
      <c r="E101" s="57">
        <v>2.94</v>
      </c>
      <c r="F101" s="55">
        <v>15</v>
      </c>
      <c r="G101" s="55">
        <v>91</v>
      </c>
      <c r="H101" s="55">
        <v>11</v>
      </c>
      <c r="I101" s="55">
        <v>4.4000000000000003E-3</v>
      </c>
      <c r="J101" s="55">
        <v>97</v>
      </c>
      <c r="K101" s="57">
        <v>16.135000000000002</v>
      </c>
      <c r="L101" s="53">
        <v>14.263999999999999</v>
      </c>
      <c r="M101" s="60">
        <f t="shared" si="19"/>
        <v>1.8710000000000022</v>
      </c>
      <c r="N101" s="54">
        <f t="shared" si="20"/>
        <v>0</v>
      </c>
      <c r="P101" s="6"/>
      <c r="R101" s="6"/>
      <c r="T101" s="6"/>
      <c r="V101" s="6"/>
      <c r="X101" s="6"/>
      <c r="Z101" s="6"/>
      <c r="AB101" s="8"/>
      <c r="AD101" s="55">
        <f t="shared" si="21"/>
        <v>0.11724137931034483</v>
      </c>
      <c r="AE101" s="57">
        <f t="shared" si="22"/>
        <v>0.2592592592592593</v>
      </c>
      <c r="AF101" s="55">
        <f t="shared" si="23"/>
        <v>0.36876355748373102</v>
      </c>
      <c r="AG101" s="55">
        <f t="shared" si="24"/>
        <v>0.3410852713178294</v>
      </c>
      <c r="AH101" s="57">
        <f t="shared" si="25"/>
        <v>1</v>
      </c>
      <c r="AI101" s="55">
        <f t="shared" si="26"/>
        <v>0.14734774066797643</v>
      </c>
      <c r="AJ101" s="55">
        <f t="shared" si="27"/>
        <v>0.26672694394213381</v>
      </c>
      <c r="AK101" s="55">
        <f t="shared" si="28"/>
        <v>3.3333333333333333E-2</v>
      </c>
      <c r="AL101" s="55">
        <f t="shared" si="29"/>
        <v>0.45686255650668467</v>
      </c>
      <c r="AM101" s="55">
        <f t="shared" si="30"/>
        <v>0.24249999999999999</v>
      </c>
      <c r="AN101" s="57">
        <f t="shared" si="31"/>
        <v>2.3978130065284944E-2</v>
      </c>
      <c r="AO101" s="53">
        <f t="shared" si="32"/>
        <v>0.11529962303392695</v>
      </c>
      <c r="AP101" s="57">
        <f t="shared" si="33"/>
        <v>2.6147699999233293E-3</v>
      </c>
      <c r="AQ101" s="54">
        <f t="shared" si="34"/>
        <v>0</v>
      </c>
      <c r="AS101" s="61">
        <f t="shared" si="35"/>
        <v>14.263999999999999</v>
      </c>
      <c r="AT101" s="61" t="str">
        <f t="shared" si="36"/>
        <v/>
      </c>
    </row>
    <row r="102" spans="1:46" x14ac:dyDescent="0.3">
      <c r="A102" s="55">
        <v>300</v>
      </c>
      <c r="B102" s="57">
        <v>11</v>
      </c>
      <c r="C102" s="55">
        <v>160</v>
      </c>
      <c r="D102" s="55">
        <v>4</v>
      </c>
      <c r="E102" s="57">
        <v>2.94</v>
      </c>
      <c r="F102" s="55">
        <v>10</v>
      </c>
      <c r="G102" s="55">
        <v>73</v>
      </c>
      <c r="H102" s="55">
        <v>18</v>
      </c>
      <c r="I102" s="55">
        <v>2.2000000000000001E-3</v>
      </c>
      <c r="J102" s="55">
        <v>62</v>
      </c>
      <c r="K102" s="57">
        <v>111.973</v>
      </c>
      <c r="L102" s="53">
        <v>55.054000000000002</v>
      </c>
      <c r="M102" s="60">
        <f t="shared" si="19"/>
        <v>56.918999999999997</v>
      </c>
      <c r="N102" s="54">
        <f t="shared" si="20"/>
        <v>1</v>
      </c>
      <c r="P102" s="6"/>
      <c r="R102" s="6"/>
      <c r="T102" s="6"/>
      <c r="V102" s="6"/>
      <c r="X102" s="6"/>
      <c r="Z102" s="6"/>
      <c r="AB102" s="8"/>
      <c r="AD102" s="55">
        <f t="shared" si="21"/>
        <v>0.22413793103448276</v>
      </c>
      <c r="AE102" s="57">
        <f t="shared" si="22"/>
        <v>0.62962962962962965</v>
      </c>
      <c r="AF102" s="55">
        <f t="shared" si="23"/>
        <v>0.34707158351409978</v>
      </c>
      <c r="AG102" s="55">
        <f t="shared" si="24"/>
        <v>0.29457364341085268</v>
      </c>
      <c r="AH102" s="57">
        <f t="shared" si="25"/>
        <v>1</v>
      </c>
      <c r="AI102" s="55">
        <f t="shared" si="26"/>
        <v>9.8231827111984291E-2</v>
      </c>
      <c r="AJ102" s="55">
        <f t="shared" si="27"/>
        <v>0.18535262206148284</v>
      </c>
      <c r="AK102" s="55">
        <f t="shared" si="28"/>
        <v>0.15</v>
      </c>
      <c r="AL102" s="55">
        <f t="shared" si="29"/>
        <v>0.19236318168702515</v>
      </c>
      <c r="AM102" s="55">
        <f t="shared" si="30"/>
        <v>0.155</v>
      </c>
      <c r="AN102" s="57">
        <f t="shared" si="31"/>
        <v>0.35519981199044748</v>
      </c>
      <c r="AO102" s="53">
        <f t="shared" si="32"/>
        <v>0.44668854803067726</v>
      </c>
      <c r="AP102" s="57">
        <f t="shared" si="33"/>
        <v>0.21366734911396873</v>
      </c>
      <c r="AQ102" s="54">
        <f t="shared" si="34"/>
        <v>1</v>
      </c>
      <c r="AS102" s="61" t="str">
        <f t="shared" si="35"/>
        <v/>
      </c>
      <c r="AT102" s="61">
        <f t="shared" si="36"/>
        <v>55.054000000000002</v>
      </c>
    </row>
    <row r="103" spans="1:46" x14ac:dyDescent="0.3">
      <c r="A103" s="55">
        <v>290</v>
      </c>
      <c r="B103" s="57">
        <v>5</v>
      </c>
      <c r="C103" s="55">
        <v>150</v>
      </c>
      <c r="D103" s="55">
        <v>7</v>
      </c>
      <c r="E103" s="57">
        <v>2.94</v>
      </c>
      <c r="F103" s="55">
        <v>5</v>
      </c>
      <c r="G103" s="55">
        <v>55</v>
      </c>
      <c r="H103" s="55">
        <v>13</v>
      </c>
      <c r="I103" s="55">
        <v>1.9E-3</v>
      </c>
      <c r="J103" s="55">
        <v>49</v>
      </c>
      <c r="K103" s="57">
        <v>65.772000000000006</v>
      </c>
      <c r="L103" s="53">
        <v>7.47</v>
      </c>
      <c r="M103" s="60">
        <f t="shared" si="19"/>
        <v>58.302000000000007</v>
      </c>
      <c r="N103" s="54">
        <f t="shared" si="20"/>
        <v>0</v>
      </c>
      <c r="P103" s="6"/>
      <c r="R103" s="6"/>
      <c r="T103" s="6"/>
      <c r="V103" s="6"/>
      <c r="X103" s="6"/>
      <c r="Z103" s="6"/>
      <c r="AB103" s="8"/>
      <c r="AD103" s="55">
        <f t="shared" si="21"/>
        <v>0.20689655172413793</v>
      </c>
      <c r="AE103" s="57">
        <f t="shared" si="22"/>
        <v>0.2592592592592593</v>
      </c>
      <c r="AF103" s="55">
        <f t="shared" si="23"/>
        <v>0.32537960954446854</v>
      </c>
      <c r="AG103" s="55">
        <f t="shared" si="24"/>
        <v>0.52713178294573637</v>
      </c>
      <c r="AH103" s="57">
        <f t="shared" si="25"/>
        <v>1</v>
      </c>
      <c r="AI103" s="55">
        <f t="shared" si="26"/>
        <v>4.9115913555992145E-2</v>
      </c>
      <c r="AJ103" s="55">
        <f t="shared" si="27"/>
        <v>0.10397830018083183</v>
      </c>
      <c r="AK103" s="55">
        <f t="shared" si="28"/>
        <v>6.6666666666666666E-2</v>
      </c>
      <c r="AL103" s="55">
        <f t="shared" si="29"/>
        <v>0.15629508512070789</v>
      </c>
      <c r="AM103" s="55">
        <f t="shared" si="30"/>
        <v>0.1225</v>
      </c>
      <c r="AN103" s="57">
        <f t="shared" si="31"/>
        <v>0.19552647858799299</v>
      </c>
      <c r="AO103" s="53">
        <f t="shared" si="32"/>
        <v>6.0103340699337059E-2</v>
      </c>
      <c r="AP103" s="57">
        <f t="shared" si="33"/>
        <v>0.21896973461234698</v>
      </c>
      <c r="AQ103" s="54">
        <f t="shared" si="34"/>
        <v>0</v>
      </c>
      <c r="AS103" s="61">
        <f t="shared" si="35"/>
        <v>7.47</v>
      </c>
      <c r="AT103" s="61" t="str">
        <f t="shared" si="36"/>
        <v/>
      </c>
    </row>
    <row r="104" spans="1:46" x14ac:dyDescent="0.3">
      <c r="A104" s="55">
        <v>304</v>
      </c>
      <c r="B104" s="57">
        <v>6</v>
      </c>
      <c r="C104" s="55">
        <v>165</v>
      </c>
      <c r="D104" s="55">
        <v>3.4</v>
      </c>
      <c r="E104" s="57">
        <v>2.94</v>
      </c>
      <c r="F104" s="55">
        <v>2</v>
      </c>
      <c r="G104" s="55">
        <v>57</v>
      </c>
      <c r="H104" s="55">
        <v>10</v>
      </c>
      <c r="I104" s="55">
        <v>1.2999999999999999E-3</v>
      </c>
      <c r="J104" s="55">
        <v>1</v>
      </c>
      <c r="K104" s="57">
        <v>174.541</v>
      </c>
      <c r="L104" s="53">
        <v>7.1999999999999995E-2</v>
      </c>
      <c r="M104" s="60">
        <f t="shared" si="19"/>
        <v>174.46899999999999</v>
      </c>
      <c r="N104" s="54">
        <f t="shared" si="20"/>
        <v>0</v>
      </c>
      <c r="P104" s="6"/>
      <c r="R104" s="6"/>
      <c r="T104" s="6"/>
      <c r="V104" s="6"/>
      <c r="X104" s="6"/>
      <c r="Z104" s="6"/>
      <c r="AB104" s="8"/>
      <c r="AD104" s="55">
        <f t="shared" si="21"/>
        <v>0.23103448275862068</v>
      </c>
      <c r="AE104" s="57">
        <f t="shared" si="22"/>
        <v>0.32098765432098769</v>
      </c>
      <c r="AF104" s="55">
        <f t="shared" si="23"/>
        <v>0.35791757049891543</v>
      </c>
      <c r="AG104" s="55">
        <f t="shared" si="24"/>
        <v>0.24806201550387594</v>
      </c>
      <c r="AH104" s="57">
        <f t="shared" si="25"/>
        <v>1</v>
      </c>
      <c r="AI104" s="55">
        <f t="shared" si="26"/>
        <v>1.9646365422396856E-2</v>
      </c>
      <c r="AJ104" s="55">
        <f t="shared" si="27"/>
        <v>0.11301989150090416</v>
      </c>
      <c r="AK104" s="55">
        <f t="shared" si="28"/>
        <v>1.6666666666666666E-2</v>
      </c>
      <c r="AL104" s="55">
        <f t="shared" si="29"/>
        <v>8.4158891988073484E-2</v>
      </c>
      <c r="AM104" s="55">
        <f t="shared" si="30"/>
        <v>2.5000000000000001E-3</v>
      </c>
      <c r="AN104" s="57">
        <f t="shared" si="31"/>
        <v>0.57143844587986048</v>
      </c>
      <c r="AO104" s="53">
        <f t="shared" si="32"/>
        <v>0</v>
      </c>
      <c r="AP104" s="57">
        <f t="shared" si="33"/>
        <v>0.66435094660808369</v>
      </c>
      <c r="AQ104" s="54">
        <f t="shared" si="34"/>
        <v>0</v>
      </c>
      <c r="AS104" s="61">
        <f t="shared" si="35"/>
        <v>7.1999999999999995E-2</v>
      </c>
      <c r="AT104" s="61" t="str">
        <f t="shared" si="36"/>
        <v/>
      </c>
    </row>
    <row r="105" spans="1:46" x14ac:dyDescent="0.3">
      <c r="A105" s="55">
        <v>266</v>
      </c>
      <c r="B105" s="57">
        <v>7</v>
      </c>
      <c r="C105" s="55">
        <v>165</v>
      </c>
      <c r="D105" s="55">
        <v>2.7</v>
      </c>
      <c r="E105" s="57">
        <v>2.94</v>
      </c>
      <c r="F105" s="55">
        <v>3</v>
      </c>
      <c r="G105" s="55">
        <v>32</v>
      </c>
      <c r="H105" s="55">
        <v>12</v>
      </c>
      <c r="I105" s="55">
        <v>2.1000000000000003E-3</v>
      </c>
      <c r="J105" s="55">
        <v>104</v>
      </c>
      <c r="K105" s="57">
        <v>19.061</v>
      </c>
      <c r="L105" s="53">
        <v>10.816000000000001</v>
      </c>
      <c r="M105" s="60">
        <f t="shared" si="19"/>
        <v>8.2449999999999992</v>
      </c>
      <c r="N105" s="54">
        <f t="shared" si="20"/>
        <v>0</v>
      </c>
      <c r="P105" s="6"/>
      <c r="R105" s="6"/>
      <c r="T105" s="6"/>
      <c r="V105" s="6"/>
      <c r="X105" s="6"/>
      <c r="Z105" s="6"/>
      <c r="AB105" s="8"/>
      <c r="AD105" s="55">
        <f t="shared" si="21"/>
        <v>0.16551724137931034</v>
      </c>
      <c r="AE105" s="57">
        <f t="shared" si="22"/>
        <v>0.38271604938271608</v>
      </c>
      <c r="AF105" s="55">
        <f t="shared" si="23"/>
        <v>0.35791757049891543</v>
      </c>
      <c r="AG105" s="55">
        <f t="shared" si="24"/>
        <v>0.19379844961240308</v>
      </c>
      <c r="AH105" s="57">
        <f t="shared" si="25"/>
        <v>1</v>
      </c>
      <c r="AI105" s="55">
        <f t="shared" si="26"/>
        <v>2.9469548133595286E-2</v>
      </c>
      <c r="AJ105" s="55">
        <f t="shared" si="27"/>
        <v>0</v>
      </c>
      <c r="AK105" s="55">
        <f t="shared" si="28"/>
        <v>0.05</v>
      </c>
      <c r="AL105" s="55">
        <f t="shared" si="29"/>
        <v>0.1803404828315861</v>
      </c>
      <c r="AM105" s="55">
        <f t="shared" si="30"/>
        <v>0.26</v>
      </c>
      <c r="AN105" s="57">
        <f t="shared" si="31"/>
        <v>3.4090555630436815E-2</v>
      </c>
      <c r="AO105" s="53">
        <f t="shared" si="32"/>
        <v>8.7287144157025889E-2</v>
      </c>
      <c r="AP105" s="57">
        <f t="shared" si="33"/>
        <v>2.7052517770467667E-2</v>
      </c>
      <c r="AQ105" s="54">
        <f t="shared" si="34"/>
        <v>0</v>
      </c>
      <c r="AS105" s="61">
        <f t="shared" si="35"/>
        <v>10.816000000000001</v>
      </c>
      <c r="AT105" s="61" t="str">
        <f t="shared" si="36"/>
        <v/>
      </c>
    </row>
    <row r="106" spans="1:46" x14ac:dyDescent="0.3">
      <c r="A106" s="55">
        <v>320</v>
      </c>
      <c r="B106" s="57">
        <v>7</v>
      </c>
      <c r="C106" s="55">
        <v>155</v>
      </c>
      <c r="D106" s="55">
        <v>2.8</v>
      </c>
      <c r="E106" s="57">
        <v>2.94</v>
      </c>
      <c r="F106" s="55">
        <v>15</v>
      </c>
      <c r="G106" s="55">
        <v>150</v>
      </c>
      <c r="H106" s="55">
        <v>9</v>
      </c>
      <c r="I106" s="55">
        <v>4.0000000000000001E-3</v>
      </c>
      <c r="J106" s="55">
        <v>76</v>
      </c>
      <c r="K106" s="57">
        <v>33.628999999999998</v>
      </c>
      <c r="L106" s="53">
        <v>18.663</v>
      </c>
      <c r="M106" s="60">
        <f t="shared" si="19"/>
        <v>14.965999999999998</v>
      </c>
      <c r="N106" s="54">
        <f t="shared" si="20"/>
        <v>0</v>
      </c>
      <c r="P106" s="6"/>
      <c r="R106" s="6"/>
      <c r="T106" s="6"/>
      <c r="V106" s="6"/>
      <c r="X106" s="6"/>
      <c r="Z106" s="6"/>
      <c r="AB106" s="8"/>
      <c r="AD106" s="55">
        <f t="shared" si="21"/>
        <v>0.25862068965517243</v>
      </c>
      <c r="AE106" s="57">
        <f t="shared" si="22"/>
        <v>0.38271604938271608</v>
      </c>
      <c r="AF106" s="55">
        <f t="shared" si="23"/>
        <v>0.33622559652928419</v>
      </c>
      <c r="AG106" s="55">
        <f t="shared" si="24"/>
        <v>0.20155038759689919</v>
      </c>
      <c r="AH106" s="57">
        <f t="shared" si="25"/>
        <v>1</v>
      </c>
      <c r="AI106" s="55">
        <f t="shared" si="26"/>
        <v>0.14734774066797643</v>
      </c>
      <c r="AJ106" s="55">
        <f t="shared" si="27"/>
        <v>0.53345388788426762</v>
      </c>
      <c r="AK106" s="55">
        <f t="shared" si="28"/>
        <v>0</v>
      </c>
      <c r="AL106" s="55">
        <f t="shared" si="29"/>
        <v>0.40877176108492841</v>
      </c>
      <c r="AM106" s="55">
        <f t="shared" si="30"/>
        <v>0.19</v>
      </c>
      <c r="AN106" s="57">
        <f t="shared" si="31"/>
        <v>8.4438407863223056E-2</v>
      </c>
      <c r="AO106" s="53">
        <f t="shared" si="32"/>
        <v>0.15103828155466009</v>
      </c>
      <c r="AP106" s="57">
        <f t="shared" si="33"/>
        <v>5.2820654382615226E-2</v>
      </c>
      <c r="AQ106" s="54">
        <f t="shared" si="34"/>
        <v>0</v>
      </c>
      <c r="AS106" s="61">
        <f t="shared" si="35"/>
        <v>18.663</v>
      </c>
      <c r="AT106" s="61" t="str">
        <f t="shared" si="36"/>
        <v/>
      </c>
    </row>
    <row r="107" spans="1:46" x14ac:dyDescent="0.3">
      <c r="A107" s="55">
        <v>501</v>
      </c>
      <c r="B107" s="57">
        <v>6</v>
      </c>
      <c r="C107" s="55">
        <v>0</v>
      </c>
      <c r="D107" s="55">
        <v>4.7</v>
      </c>
      <c r="E107" s="57">
        <v>2.94</v>
      </c>
      <c r="F107" s="55">
        <v>15</v>
      </c>
      <c r="G107" s="55">
        <v>87</v>
      </c>
      <c r="H107" s="55">
        <v>13</v>
      </c>
      <c r="I107" s="55">
        <v>2E-3</v>
      </c>
      <c r="J107" s="55">
        <v>0</v>
      </c>
      <c r="K107" s="57">
        <v>39.29</v>
      </c>
      <c r="L107" s="53">
        <v>31.132999999999999</v>
      </c>
      <c r="M107" s="60">
        <f t="shared" si="19"/>
        <v>8.157</v>
      </c>
      <c r="N107" s="54">
        <f t="shared" si="20"/>
        <v>0</v>
      </c>
      <c r="P107" s="6"/>
      <c r="R107" s="6"/>
      <c r="T107" s="6"/>
      <c r="V107" s="6"/>
      <c r="X107" s="6"/>
      <c r="Z107" s="6"/>
      <c r="AB107" s="8"/>
      <c r="AD107" s="55">
        <f t="shared" si="21"/>
        <v>0.57068965517241377</v>
      </c>
      <c r="AE107" s="57">
        <f t="shared" si="22"/>
        <v>0.32098765432098769</v>
      </c>
      <c r="AF107" s="55">
        <f t="shared" si="23"/>
        <v>0</v>
      </c>
      <c r="AG107" s="55">
        <f t="shared" si="24"/>
        <v>0.34883720930232559</v>
      </c>
      <c r="AH107" s="57">
        <f t="shared" si="25"/>
        <v>1</v>
      </c>
      <c r="AI107" s="55">
        <f t="shared" si="26"/>
        <v>0.14734774066797643</v>
      </c>
      <c r="AJ107" s="55">
        <f t="shared" si="27"/>
        <v>0.24864376130198917</v>
      </c>
      <c r="AK107" s="55">
        <f t="shared" si="28"/>
        <v>6.6666666666666666E-2</v>
      </c>
      <c r="AL107" s="55">
        <f t="shared" si="29"/>
        <v>0.168317783976147</v>
      </c>
      <c r="AM107" s="55">
        <f t="shared" si="30"/>
        <v>0</v>
      </c>
      <c r="AN107" s="57">
        <f t="shared" si="31"/>
        <v>0.10400315192485149</v>
      </c>
      <c r="AO107" s="53">
        <f t="shared" si="32"/>
        <v>0.2523479136877681</v>
      </c>
      <c r="AP107" s="57">
        <f t="shared" si="33"/>
        <v>2.6715128093058212E-2</v>
      </c>
      <c r="AQ107" s="54">
        <f t="shared" si="34"/>
        <v>0</v>
      </c>
      <c r="AS107" s="61">
        <f t="shared" si="35"/>
        <v>31.132999999999999</v>
      </c>
      <c r="AT107" s="61" t="str">
        <f t="shared" si="36"/>
        <v/>
      </c>
    </row>
    <row r="108" spans="1:46" x14ac:dyDescent="0.3">
      <c r="A108" s="55">
        <v>620</v>
      </c>
      <c r="B108" s="57">
        <v>6</v>
      </c>
      <c r="C108" s="55">
        <v>158</v>
      </c>
      <c r="D108" s="55">
        <v>3.5</v>
      </c>
      <c r="E108" s="57">
        <v>2.94</v>
      </c>
      <c r="F108" s="55">
        <v>10</v>
      </c>
      <c r="G108" s="55">
        <v>86</v>
      </c>
      <c r="H108" s="55">
        <v>12</v>
      </c>
      <c r="I108" s="55">
        <v>2.5999999999999999E-3</v>
      </c>
      <c r="J108" s="55">
        <v>108</v>
      </c>
      <c r="K108" s="57">
        <v>50.213999999999999</v>
      </c>
      <c r="L108" s="53">
        <v>37.171999999999997</v>
      </c>
      <c r="M108" s="60">
        <f t="shared" si="19"/>
        <v>13.042000000000002</v>
      </c>
      <c r="N108" s="54">
        <f t="shared" si="20"/>
        <v>1</v>
      </c>
      <c r="P108" s="6"/>
      <c r="R108" s="6"/>
      <c r="T108" s="6"/>
      <c r="V108" s="6"/>
      <c r="X108" s="6"/>
      <c r="Z108" s="6"/>
      <c r="AB108" s="8"/>
      <c r="AD108" s="55">
        <f t="shared" si="21"/>
        <v>0.77586206896551724</v>
      </c>
      <c r="AE108" s="57">
        <f t="shared" si="22"/>
        <v>0.32098765432098769</v>
      </c>
      <c r="AF108" s="55">
        <f t="shared" si="23"/>
        <v>0.34273318872017355</v>
      </c>
      <c r="AG108" s="55">
        <f t="shared" si="24"/>
        <v>0.25581395348837205</v>
      </c>
      <c r="AH108" s="57">
        <f t="shared" si="25"/>
        <v>1</v>
      </c>
      <c r="AI108" s="55">
        <f t="shared" si="26"/>
        <v>9.8231827111984291E-2</v>
      </c>
      <c r="AJ108" s="55">
        <f t="shared" si="27"/>
        <v>0.24412296564195299</v>
      </c>
      <c r="AK108" s="55">
        <f t="shared" si="28"/>
        <v>0.05</v>
      </c>
      <c r="AL108" s="55">
        <f t="shared" si="29"/>
        <v>0.24045397710878139</v>
      </c>
      <c r="AM108" s="55">
        <f t="shared" si="30"/>
        <v>0.27</v>
      </c>
      <c r="AN108" s="57">
        <f t="shared" si="31"/>
        <v>0.14175712898353879</v>
      </c>
      <c r="AO108" s="53">
        <f t="shared" si="32"/>
        <v>0.30141037306642399</v>
      </c>
      <c r="AP108" s="57">
        <f t="shared" si="33"/>
        <v>4.5444089162890215E-2</v>
      </c>
      <c r="AQ108" s="54">
        <f t="shared" si="34"/>
        <v>1</v>
      </c>
      <c r="AS108" s="61" t="str">
        <f t="shared" si="35"/>
        <v/>
      </c>
      <c r="AT108" s="61">
        <f t="shared" si="36"/>
        <v>37.171999999999997</v>
      </c>
    </row>
    <row r="109" spans="1:46" x14ac:dyDescent="0.3">
      <c r="A109" s="55">
        <v>490</v>
      </c>
      <c r="B109" s="57">
        <v>4</v>
      </c>
      <c r="C109" s="55">
        <v>158</v>
      </c>
      <c r="D109" s="55">
        <v>2.7</v>
      </c>
      <c r="E109" s="57">
        <v>2.94</v>
      </c>
      <c r="F109" s="55">
        <v>1</v>
      </c>
      <c r="G109" s="55">
        <v>46</v>
      </c>
      <c r="H109" s="55">
        <v>9</v>
      </c>
      <c r="I109" s="55">
        <v>5.9999999999999995E-4</v>
      </c>
      <c r="J109" s="55">
        <v>115</v>
      </c>
      <c r="K109" s="57">
        <v>25.78</v>
      </c>
      <c r="L109" s="53">
        <v>20.192</v>
      </c>
      <c r="M109" s="60">
        <f t="shared" si="19"/>
        <v>5.588000000000001</v>
      </c>
      <c r="N109" s="54">
        <f t="shared" si="20"/>
        <v>0</v>
      </c>
      <c r="P109" s="6"/>
      <c r="R109" s="6"/>
      <c r="T109" s="6"/>
      <c r="V109" s="6"/>
      <c r="X109" s="6"/>
      <c r="Z109" s="6"/>
      <c r="AB109" s="8"/>
      <c r="AD109" s="55">
        <f t="shared" si="21"/>
        <v>0.55172413793103448</v>
      </c>
      <c r="AE109" s="57">
        <f t="shared" si="22"/>
        <v>0.19753086419753088</v>
      </c>
      <c r="AF109" s="55">
        <f t="shared" si="23"/>
        <v>0.34273318872017355</v>
      </c>
      <c r="AG109" s="55">
        <f t="shared" si="24"/>
        <v>0.19379844961240308</v>
      </c>
      <c r="AH109" s="57">
        <f t="shared" si="25"/>
        <v>1</v>
      </c>
      <c r="AI109" s="55">
        <f t="shared" si="26"/>
        <v>9.823182711198428E-3</v>
      </c>
      <c r="AJ109" s="55">
        <f t="shared" si="27"/>
        <v>6.3291139240506333E-2</v>
      </c>
      <c r="AK109" s="55">
        <f t="shared" si="28"/>
        <v>0</v>
      </c>
      <c r="AL109" s="55">
        <f t="shared" si="29"/>
        <v>0</v>
      </c>
      <c r="AM109" s="55">
        <f t="shared" si="30"/>
        <v>0.28749999999999998</v>
      </c>
      <c r="AN109" s="57">
        <f t="shared" si="31"/>
        <v>5.7311809004413398E-2</v>
      </c>
      <c r="AO109" s="53">
        <f t="shared" si="32"/>
        <v>0.16346028857402836</v>
      </c>
      <c r="AP109" s="57">
        <f t="shared" si="33"/>
        <v>1.6865649896866116E-2</v>
      </c>
      <c r="AQ109" s="54">
        <f t="shared" si="34"/>
        <v>0</v>
      </c>
      <c r="AS109" s="61">
        <f t="shared" si="35"/>
        <v>20.192</v>
      </c>
      <c r="AT109" s="61" t="str">
        <f t="shared" si="36"/>
        <v/>
      </c>
    </row>
    <row r="110" spans="1:46" x14ac:dyDescent="0.3">
      <c r="A110" s="55">
        <v>513</v>
      </c>
      <c r="B110" s="57">
        <v>2</v>
      </c>
      <c r="C110" s="55">
        <v>160</v>
      </c>
      <c r="D110" s="55">
        <v>4.7</v>
      </c>
      <c r="E110" s="57">
        <v>2.94</v>
      </c>
      <c r="F110" s="55">
        <v>7</v>
      </c>
      <c r="G110" s="55">
        <v>66</v>
      </c>
      <c r="H110" s="55">
        <v>10</v>
      </c>
      <c r="I110" s="55">
        <v>3.0000000000000001E-3</v>
      </c>
      <c r="J110" s="55">
        <v>86</v>
      </c>
      <c r="K110" s="57">
        <v>108.813</v>
      </c>
      <c r="L110" s="53">
        <v>43.259</v>
      </c>
      <c r="M110" s="60">
        <f t="shared" si="19"/>
        <v>65.554000000000002</v>
      </c>
      <c r="N110" s="54">
        <f t="shared" si="20"/>
        <v>1</v>
      </c>
      <c r="P110" s="6"/>
      <c r="R110" s="6"/>
      <c r="T110" s="6"/>
      <c r="V110" s="6"/>
      <c r="X110" s="6"/>
      <c r="Z110" s="6"/>
      <c r="AB110" s="8"/>
      <c r="AD110" s="55">
        <f t="shared" si="21"/>
        <v>0.5913793103448276</v>
      </c>
      <c r="AE110" s="57">
        <f t="shared" si="22"/>
        <v>7.407407407407407E-2</v>
      </c>
      <c r="AF110" s="55">
        <f t="shared" si="23"/>
        <v>0.34707158351409978</v>
      </c>
      <c r="AG110" s="55">
        <f t="shared" si="24"/>
        <v>0.34883720930232559</v>
      </c>
      <c r="AH110" s="57">
        <f t="shared" si="25"/>
        <v>1</v>
      </c>
      <c r="AI110" s="55">
        <f t="shared" si="26"/>
        <v>6.8762278978389005E-2</v>
      </c>
      <c r="AJ110" s="55">
        <f t="shared" si="27"/>
        <v>0.15370705244122967</v>
      </c>
      <c r="AK110" s="55">
        <f t="shared" si="28"/>
        <v>1.6666666666666666E-2</v>
      </c>
      <c r="AL110" s="55">
        <f t="shared" si="29"/>
        <v>0.28854477253053767</v>
      </c>
      <c r="AM110" s="55">
        <f t="shared" si="30"/>
        <v>0.215</v>
      </c>
      <c r="AN110" s="57">
        <f t="shared" si="31"/>
        <v>0.34427866886471953</v>
      </c>
      <c r="AO110" s="53">
        <f t="shared" si="32"/>
        <v>0.35086279734823866</v>
      </c>
      <c r="AP110" s="57">
        <f t="shared" si="33"/>
        <v>0.2467737112097721</v>
      </c>
      <c r="AQ110" s="54">
        <f t="shared" si="34"/>
        <v>1</v>
      </c>
      <c r="AS110" s="61" t="str">
        <f t="shared" si="35"/>
        <v/>
      </c>
      <c r="AT110" s="61">
        <f t="shared" si="36"/>
        <v>43.259</v>
      </c>
    </row>
    <row r="111" spans="1:46" x14ac:dyDescent="0.3">
      <c r="A111" s="55">
        <v>420</v>
      </c>
      <c r="B111" s="57">
        <v>8</v>
      </c>
      <c r="C111" s="55">
        <v>157</v>
      </c>
      <c r="D111" s="55">
        <v>2</v>
      </c>
      <c r="E111" s="57">
        <v>2.94</v>
      </c>
      <c r="F111" s="55">
        <v>15</v>
      </c>
      <c r="G111" s="55">
        <v>107</v>
      </c>
      <c r="H111" s="55">
        <v>12</v>
      </c>
      <c r="I111" s="55">
        <v>3.3E-3</v>
      </c>
      <c r="J111" s="55">
        <v>84</v>
      </c>
      <c r="K111" s="57">
        <v>20.890999999999998</v>
      </c>
      <c r="L111" s="53">
        <v>17.428999999999998</v>
      </c>
      <c r="M111" s="60">
        <f t="shared" si="19"/>
        <v>3.4619999999999997</v>
      </c>
      <c r="N111" s="54">
        <f t="shared" si="20"/>
        <v>0</v>
      </c>
      <c r="P111" s="6"/>
      <c r="R111" s="6"/>
      <c r="T111" s="6"/>
      <c r="V111" s="6"/>
      <c r="X111" s="6"/>
      <c r="Z111" s="6"/>
      <c r="AB111" s="8"/>
      <c r="AD111" s="55">
        <f t="shared" si="21"/>
        <v>0.43103448275862066</v>
      </c>
      <c r="AE111" s="57">
        <f t="shared" si="22"/>
        <v>0.44444444444444448</v>
      </c>
      <c r="AF111" s="55">
        <f t="shared" si="23"/>
        <v>0.34056399132321041</v>
      </c>
      <c r="AG111" s="55">
        <f t="shared" si="24"/>
        <v>0.13953488372093023</v>
      </c>
      <c r="AH111" s="57">
        <f t="shared" si="25"/>
        <v>1</v>
      </c>
      <c r="AI111" s="55">
        <f t="shared" si="26"/>
        <v>0.14734774066797643</v>
      </c>
      <c r="AJ111" s="55">
        <f t="shared" si="27"/>
        <v>0.33905967450271252</v>
      </c>
      <c r="AK111" s="55">
        <f t="shared" si="28"/>
        <v>0.05</v>
      </c>
      <c r="AL111" s="55">
        <f t="shared" si="29"/>
        <v>0.32461286909685488</v>
      </c>
      <c r="AM111" s="55">
        <f t="shared" si="30"/>
        <v>0.21</v>
      </c>
      <c r="AN111" s="57">
        <f t="shared" si="31"/>
        <v>4.0415141681095709E-2</v>
      </c>
      <c r="AO111" s="53">
        <f t="shared" si="32"/>
        <v>0.14101293383595476</v>
      </c>
      <c r="AP111" s="57">
        <f t="shared" si="33"/>
        <v>8.7146220085420924E-3</v>
      </c>
      <c r="AQ111" s="54">
        <f t="shared" si="34"/>
        <v>0</v>
      </c>
      <c r="AS111" s="61">
        <f t="shared" si="35"/>
        <v>17.428999999999998</v>
      </c>
      <c r="AT111" s="61" t="str">
        <f t="shared" si="36"/>
        <v/>
      </c>
    </row>
    <row r="112" spans="1:46" x14ac:dyDescent="0.3">
      <c r="A112" s="55">
        <v>510</v>
      </c>
      <c r="B112" s="57">
        <v>6</v>
      </c>
      <c r="C112" s="55">
        <v>145</v>
      </c>
      <c r="D112" s="55">
        <v>2</v>
      </c>
      <c r="E112" s="57">
        <v>2.94</v>
      </c>
      <c r="F112" s="55">
        <v>10</v>
      </c>
      <c r="G112" s="55">
        <v>60</v>
      </c>
      <c r="H112" s="55">
        <v>14</v>
      </c>
      <c r="I112" s="55">
        <v>3.3999999999999998E-3</v>
      </c>
      <c r="J112" s="55">
        <v>87</v>
      </c>
      <c r="K112" s="57">
        <v>96.727999999999994</v>
      </c>
      <c r="L112" s="53">
        <v>45.222999999999999</v>
      </c>
      <c r="M112" s="60">
        <f t="shared" si="19"/>
        <v>51.504999999999995</v>
      </c>
      <c r="N112" s="54">
        <f t="shared" si="20"/>
        <v>1</v>
      </c>
      <c r="P112" s="6"/>
      <c r="R112" s="6"/>
      <c r="T112" s="6"/>
      <c r="V112" s="6"/>
      <c r="X112" s="6"/>
      <c r="Z112" s="6"/>
      <c r="AB112" s="8"/>
      <c r="AD112" s="55">
        <f t="shared" si="21"/>
        <v>0.58620689655172409</v>
      </c>
      <c r="AE112" s="57">
        <f t="shared" si="22"/>
        <v>0.32098765432098769</v>
      </c>
      <c r="AF112" s="55">
        <f t="shared" si="23"/>
        <v>0.31453362255965295</v>
      </c>
      <c r="AG112" s="55">
        <f t="shared" si="24"/>
        <v>0.13953488372093023</v>
      </c>
      <c r="AH112" s="57">
        <f t="shared" si="25"/>
        <v>1</v>
      </c>
      <c r="AI112" s="55">
        <f t="shared" si="26"/>
        <v>9.8231827111984291E-2</v>
      </c>
      <c r="AJ112" s="55">
        <f t="shared" si="27"/>
        <v>0.12658227848101267</v>
      </c>
      <c r="AK112" s="55">
        <f t="shared" si="28"/>
        <v>8.3333333333333329E-2</v>
      </c>
      <c r="AL112" s="55">
        <f t="shared" si="29"/>
        <v>0.33663556795229393</v>
      </c>
      <c r="AM112" s="55">
        <f t="shared" si="30"/>
        <v>0.2175</v>
      </c>
      <c r="AN112" s="57">
        <f t="shared" si="31"/>
        <v>0.30251220852471256</v>
      </c>
      <c r="AO112" s="53">
        <f t="shared" si="32"/>
        <v>0.36681886130248276</v>
      </c>
      <c r="AP112" s="57">
        <f t="shared" si="33"/>
        <v>0.19291021600607303</v>
      </c>
      <c r="AQ112" s="54">
        <f t="shared" si="34"/>
        <v>1</v>
      </c>
      <c r="AS112" s="61" t="str">
        <f t="shared" si="35"/>
        <v/>
      </c>
      <c r="AT112" s="61">
        <f t="shared" si="36"/>
        <v>45.222999999999999</v>
      </c>
    </row>
    <row r="113" spans="1:46" x14ac:dyDescent="0.3">
      <c r="A113" s="55">
        <v>650</v>
      </c>
      <c r="B113" s="57">
        <v>6</v>
      </c>
      <c r="C113" s="55">
        <v>152</v>
      </c>
      <c r="D113" s="55">
        <v>3.5</v>
      </c>
      <c r="E113" s="57">
        <v>2.94</v>
      </c>
      <c r="F113" s="55">
        <v>7</v>
      </c>
      <c r="G113" s="55">
        <v>69</v>
      </c>
      <c r="H113" s="55">
        <v>13</v>
      </c>
      <c r="I113" s="55">
        <v>2.2000000000000001E-3</v>
      </c>
      <c r="J113" s="55">
        <v>51</v>
      </c>
      <c r="K113" s="57">
        <v>41.613</v>
      </c>
      <c r="L113" s="53">
        <v>12.193</v>
      </c>
      <c r="M113" s="60">
        <f t="shared" si="19"/>
        <v>29.42</v>
      </c>
      <c r="N113" s="54">
        <f t="shared" si="20"/>
        <v>0</v>
      </c>
      <c r="P113" s="6"/>
      <c r="R113" s="6"/>
      <c r="T113" s="6"/>
      <c r="V113" s="6"/>
      <c r="X113" s="6"/>
      <c r="Z113" s="6"/>
      <c r="AB113" s="8"/>
      <c r="AD113" s="55">
        <f t="shared" si="21"/>
        <v>0.82758620689655171</v>
      </c>
      <c r="AE113" s="57">
        <f t="shared" si="22"/>
        <v>0.32098765432098769</v>
      </c>
      <c r="AF113" s="55">
        <f t="shared" si="23"/>
        <v>0.32971800433839482</v>
      </c>
      <c r="AG113" s="55">
        <f t="shared" si="24"/>
        <v>0.25581395348837205</v>
      </c>
      <c r="AH113" s="57">
        <f t="shared" si="25"/>
        <v>1</v>
      </c>
      <c r="AI113" s="55">
        <f t="shared" si="26"/>
        <v>6.8762278978389005E-2</v>
      </c>
      <c r="AJ113" s="55">
        <f t="shared" si="27"/>
        <v>0.16726943942133815</v>
      </c>
      <c r="AK113" s="55">
        <f t="shared" si="28"/>
        <v>6.6666666666666666E-2</v>
      </c>
      <c r="AL113" s="55">
        <f t="shared" si="29"/>
        <v>0.19236318168702515</v>
      </c>
      <c r="AM113" s="55">
        <f t="shared" si="30"/>
        <v>0.1275</v>
      </c>
      <c r="AN113" s="57">
        <f t="shared" si="31"/>
        <v>0.11203157454544198</v>
      </c>
      <c r="AO113" s="53">
        <f t="shared" si="32"/>
        <v>9.8474262316391531E-2</v>
      </c>
      <c r="AP113" s="57">
        <f t="shared" si="33"/>
        <v>0.10823690889711918</v>
      </c>
      <c r="AQ113" s="54">
        <f t="shared" si="34"/>
        <v>0</v>
      </c>
      <c r="AS113" s="61">
        <f t="shared" si="35"/>
        <v>12.193</v>
      </c>
      <c r="AT113" s="61" t="str">
        <f t="shared" si="36"/>
        <v/>
      </c>
    </row>
    <row r="114" spans="1:46" x14ac:dyDescent="0.3">
      <c r="A114" s="55">
        <v>640</v>
      </c>
      <c r="B114" s="57">
        <v>2</v>
      </c>
      <c r="C114" s="55">
        <v>165</v>
      </c>
      <c r="D114" s="55">
        <v>3.5</v>
      </c>
      <c r="E114" s="57">
        <v>2.94</v>
      </c>
      <c r="F114" s="55">
        <v>6</v>
      </c>
      <c r="G114" s="55">
        <v>45</v>
      </c>
      <c r="H114" s="55">
        <v>15</v>
      </c>
      <c r="I114" s="55">
        <v>2.5000000000000001E-3</v>
      </c>
      <c r="J114" s="55">
        <v>109</v>
      </c>
      <c r="K114" s="57">
        <v>126.303</v>
      </c>
      <c r="L114" s="53">
        <v>17.481999999999999</v>
      </c>
      <c r="M114" s="60">
        <f t="shared" si="19"/>
        <v>108.821</v>
      </c>
      <c r="N114" s="54">
        <f t="shared" si="20"/>
        <v>0</v>
      </c>
      <c r="P114" s="6"/>
      <c r="R114" s="6"/>
      <c r="T114" s="6"/>
      <c r="V114" s="6"/>
      <c r="X114" s="6"/>
      <c r="Z114" s="6"/>
      <c r="AB114" s="8"/>
      <c r="AD114" s="55">
        <f t="shared" si="21"/>
        <v>0.81034482758620685</v>
      </c>
      <c r="AE114" s="57">
        <f t="shared" si="22"/>
        <v>7.407407407407407E-2</v>
      </c>
      <c r="AF114" s="55">
        <f t="shared" si="23"/>
        <v>0.35791757049891543</v>
      </c>
      <c r="AG114" s="55">
        <f t="shared" si="24"/>
        <v>0.25581395348837205</v>
      </c>
      <c r="AH114" s="57">
        <f t="shared" si="25"/>
        <v>1</v>
      </c>
      <c r="AI114" s="55">
        <f t="shared" si="26"/>
        <v>5.8939096267190572E-2</v>
      </c>
      <c r="AJ114" s="55">
        <f t="shared" si="27"/>
        <v>5.8770343580470168E-2</v>
      </c>
      <c r="AK114" s="55">
        <f t="shared" si="28"/>
        <v>0.1</v>
      </c>
      <c r="AL114" s="55">
        <f t="shared" si="29"/>
        <v>0.22843127825334233</v>
      </c>
      <c r="AM114" s="55">
        <f t="shared" si="30"/>
        <v>0.27250000000000002</v>
      </c>
      <c r="AN114" s="57">
        <f t="shared" si="31"/>
        <v>0.40472512243085296</v>
      </c>
      <c r="AO114" s="53">
        <f t="shared" si="32"/>
        <v>0.14144352008319253</v>
      </c>
      <c r="AP114" s="57">
        <f t="shared" si="33"/>
        <v>0.41265824726062594</v>
      </c>
      <c r="AQ114" s="54">
        <f t="shared" si="34"/>
        <v>0</v>
      </c>
      <c r="AS114" s="61">
        <f t="shared" si="35"/>
        <v>17.481999999999999</v>
      </c>
      <c r="AT114" s="61" t="str">
        <f t="shared" si="36"/>
        <v/>
      </c>
    </row>
    <row r="115" spans="1:46" x14ac:dyDescent="0.3">
      <c r="A115" s="55">
        <v>507</v>
      </c>
      <c r="B115" s="57">
        <v>8</v>
      </c>
      <c r="C115" s="55">
        <v>160</v>
      </c>
      <c r="D115" s="55">
        <v>4.4000000000000004</v>
      </c>
      <c r="E115" s="57">
        <v>2.94</v>
      </c>
      <c r="F115" s="55">
        <v>7</v>
      </c>
      <c r="G115" s="55">
        <v>66</v>
      </c>
      <c r="H115" s="55">
        <v>12</v>
      </c>
      <c r="I115" s="55">
        <v>2.7000000000000001E-3</v>
      </c>
      <c r="J115" s="55">
        <v>88</v>
      </c>
      <c r="K115" s="57">
        <v>51.203000000000003</v>
      </c>
      <c r="L115" s="53">
        <v>14.819000000000001</v>
      </c>
      <c r="M115" s="60">
        <f t="shared" si="19"/>
        <v>36.384</v>
      </c>
      <c r="N115" s="54">
        <f t="shared" si="20"/>
        <v>0</v>
      </c>
      <c r="P115" s="6"/>
      <c r="R115" s="6"/>
      <c r="T115" s="6"/>
      <c r="V115" s="6"/>
      <c r="X115" s="6"/>
      <c r="Z115" s="6"/>
      <c r="AB115" s="8"/>
      <c r="AD115" s="55">
        <f t="shared" si="21"/>
        <v>0.58103448275862069</v>
      </c>
      <c r="AE115" s="57">
        <f t="shared" si="22"/>
        <v>0.44444444444444448</v>
      </c>
      <c r="AF115" s="55">
        <f t="shared" si="23"/>
        <v>0.34707158351409978</v>
      </c>
      <c r="AG115" s="55">
        <f t="shared" si="24"/>
        <v>0.32558139534883723</v>
      </c>
      <c r="AH115" s="57">
        <f t="shared" si="25"/>
        <v>1</v>
      </c>
      <c r="AI115" s="55">
        <f t="shared" si="26"/>
        <v>6.8762278978389005E-2</v>
      </c>
      <c r="AJ115" s="55">
        <f t="shared" si="27"/>
        <v>0.15370705244122967</v>
      </c>
      <c r="AK115" s="55">
        <f t="shared" si="28"/>
        <v>0.05</v>
      </c>
      <c r="AL115" s="55">
        <f t="shared" si="29"/>
        <v>0.25247667596422052</v>
      </c>
      <c r="AM115" s="55">
        <f t="shared" si="30"/>
        <v>0.22</v>
      </c>
      <c r="AN115" s="57">
        <f t="shared" si="31"/>
        <v>0.14517517029725555</v>
      </c>
      <c r="AO115" s="53">
        <f t="shared" si="32"/>
        <v>0.11980859222669962</v>
      </c>
      <c r="AP115" s="57">
        <f t="shared" si="33"/>
        <v>0.13493670109574968</v>
      </c>
      <c r="AQ115" s="54">
        <f t="shared" si="34"/>
        <v>0</v>
      </c>
      <c r="AS115" s="61">
        <f t="shared" si="35"/>
        <v>14.819000000000001</v>
      </c>
      <c r="AT115" s="61" t="str">
        <f t="shared" si="36"/>
        <v/>
      </c>
    </row>
    <row r="116" spans="1:46" x14ac:dyDescent="0.3">
      <c r="A116" s="55">
        <v>320</v>
      </c>
      <c r="B116" s="57">
        <v>14</v>
      </c>
      <c r="C116" s="55">
        <v>170</v>
      </c>
      <c r="D116" s="55">
        <v>1.3</v>
      </c>
      <c r="E116" s="57">
        <v>2.94</v>
      </c>
      <c r="F116" s="55">
        <v>15</v>
      </c>
      <c r="G116" s="55">
        <v>96</v>
      </c>
      <c r="H116" s="55">
        <v>17</v>
      </c>
      <c r="I116" s="55">
        <v>2.8999999999999998E-3</v>
      </c>
      <c r="J116" s="55">
        <v>74</v>
      </c>
      <c r="K116" s="57">
        <v>212.905</v>
      </c>
      <c r="L116" s="53">
        <v>30.995999999999999</v>
      </c>
      <c r="M116" s="60">
        <f t="shared" si="19"/>
        <v>181.90899999999999</v>
      </c>
      <c r="N116" s="54">
        <f t="shared" si="20"/>
        <v>0</v>
      </c>
      <c r="P116" s="6"/>
      <c r="R116" s="6"/>
      <c r="T116" s="6"/>
      <c r="V116" s="6"/>
      <c r="X116" s="6"/>
      <c r="Z116" s="6"/>
      <c r="AB116" s="8"/>
      <c r="AD116" s="55">
        <f t="shared" si="21"/>
        <v>0.25862068965517243</v>
      </c>
      <c r="AE116" s="57">
        <f t="shared" si="22"/>
        <v>0.81481481481481477</v>
      </c>
      <c r="AF116" s="55">
        <f t="shared" si="23"/>
        <v>0.36876355748373102</v>
      </c>
      <c r="AG116" s="55">
        <f t="shared" si="24"/>
        <v>8.5271317829457363E-2</v>
      </c>
      <c r="AH116" s="57">
        <f t="shared" si="25"/>
        <v>1</v>
      </c>
      <c r="AI116" s="55">
        <f t="shared" si="26"/>
        <v>0.14734774066797643</v>
      </c>
      <c r="AJ116" s="55">
        <f t="shared" si="27"/>
        <v>0.28933092224231466</v>
      </c>
      <c r="AK116" s="55">
        <f t="shared" si="28"/>
        <v>0.13333333333333333</v>
      </c>
      <c r="AL116" s="55">
        <f t="shared" si="29"/>
        <v>0.27652207367509857</v>
      </c>
      <c r="AM116" s="55">
        <f t="shared" si="30"/>
        <v>0.185</v>
      </c>
      <c r="AN116" s="57">
        <f t="shared" si="31"/>
        <v>0.70402665311891954</v>
      </c>
      <c r="AO116" s="53">
        <f t="shared" si="32"/>
        <v>0.25123488886000261</v>
      </c>
      <c r="AP116" s="57">
        <f t="shared" si="33"/>
        <v>0.69287571024361072</v>
      </c>
      <c r="AQ116" s="54">
        <f t="shared" si="34"/>
        <v>0</v>
      </c>
      <c r="AS116" s="61">
        <f t="shared" si="35"/>
        <v>30.995999999999999</v>
      </c>
      <c r="AT116" s="61" t="str">
        <f t="shared" si="36"/>
        <v/>
      </c>
    </row>
    <row r="117" spans="1:46" x14ac:dyDescent="0.3">
      <c r="A117" s="55">
        <v>480</v>
      </c>
      <c r="B117" s="57">
        <v>3</v>
      </c>
      <c r="C117" s="55">
        <v>150</v>
      </c>
      <c r="D117" s="55">
        <v>3</v>
      </c>
      <c r="E117" s="57">
        <v>2.94</v>
      </c>
      <c r="F117" s="55">
        <v>5</v>
      </c>
      <c r="G117" s="55">
        <v>44</v>
      </c>
      <c r="H117" s="55">
        <v>17</v>
      </c>
      <c r="I117" s="55">
        <v>2.3999999999999998E-3</v>
      </c>
      <c r="J117" s="55">
        <v>109</v>
      </c>
      <c r="K117" s="57">
        <v>103.563</v>
      </c>
      <c r="L117" s="53">
        <v>22.317</v>
      </c>
      <c r="M117" s="60">
        <f t="shared" si="19"/>
        <v>81.246000000000009</v>
      </c>
      <c r="N117" s="54">
        <f t="shared" si="20"/>
        <v>0</v>
      </c>
      <c r="P117" s="6"/>
      <c r="R117" s="6"/>
      <c r="T117" s="6"/>
      <c r="V117" s="6"/>
      <c r="X117" s="6"/>
      <c r="Z117" s="6"/>
      <c r="AB117" s="8"/>
      <c r="AD117" s="55">
        <f t="shared" si="21"/>
        <v>0.53448275862068961</v>
      </c>
      <c r="AE117" s="57">
        <f t="shared" si="22"/>
        <v>0.13580246913580249</v>
      </c>
      <c r="AF117" s="55">
        <f t="shared" si="23"/>
        <v>0.32537960954446854</v>
      </c>
      <c r="AG117" s="55">
        <f t="shared" si="24"/>
        <v>0.21705426356589144</v>
      </c>
      <c r="AH117" s="57">
        <f t="shared" si="25"/>
        <v>1</v>
      </c>
      <c r="AI117" s="55">
        <f t="shared" si="26"/>
        <v>4.9115913555992145E-2</v>
      </c>
      <c r="AJ117" s="55">
        <f t="shared" si="27"/>
        <v>5.4249547920434002E-2</v>
      </c>
      <c r="AK117" s="55">
        <f t="shared" si="28"/>
        <v>0.13333333333333333</v>
      </c>
      <c r="AL117" s="55">
        <f t="shared" si="29"/>
        <v>0.21640857939790326</v>
      </c>
      <c r="AM117" s="55">
        <f t="shared" si="30"/>
        <v>0.27250000000000002</v>
      </c>
      <c r="AN117" s="57">
        <f t="shared" si="31"/>
        <v>0.32613436462102596</v>
      </c>
      <c r="AO117" s="53">
        <f t="shared" si="32"/>
        <v>0.18072435980761734</v>
      </c>
      <c r="AP117" s="57">
        <f t="shared" si="33"/>
        <v>0.30693642504965007</v>
      </c>
      <c r="AQ117" s="54">
        <f t="shared" si="34"/>
        <v>0</v>
      </c>
      <c r="AS117" s="61">
        <f t="shared" si="35"/>
        <v>22.317</v>
      </c>
      <c r="AT117" s="61" t="str">
        <f t="shared" si="36"/>
        <v/>
      </c>
    </row>
    <row r="118" spans="1:46" x14ac:dyDescent="0.3">
      <c r="A118" s="55">
        <v>509</v>
      </c>
      <c r="B118" s="57">
        <v>10</v>
      </c>
      <c r="C118" s="55">
        <v>169</v>
      </c>
      <c r="D118" s="55">
        <v>0.9</v>
      </c>
      <c r="E118" s="57">
        <v>2.94</v>
      </c>
      <c r="F118" s="55">
        <v>10</v>
      </c>
      <c r="G118" s="55">
        <v>79</v>
      </c>
      <c r="H118" s="55">
        <v>15</v>
      </c>
      <c r="I118" s="55">
        <v>2.5000000000000001E-3</v>
      </c>
      <c r="J118" s="55">
        <v>73</v>
      </c>
      <c r="K118" s="57">
        <v>144.28100000000001</v>
      </c>
      <c r="L118" s="53">
        <v>35.052999999999997</v>
      </c>
      <c r="M118" s="60">
        <f t="shared" si="19"/>
        <v>109.22800000000001</v>
      </c>
      <c r="N118" s="54">
        <f t="shared" si="20"/>
        <v>0</v>
      </c>
      <c r="P118" s="6"/>
      <c r="R118" s="6"/>
      <c r="T118" s="6"/>
      <c r="V118" s="6"/>
      <c r="X118" s="6"/>
      <c r="Z118" s="6"/>
      <c r="AB118" s="8"/>
      <c r="AD118" s="55">
        <f t="shared" si="21"/>
        <v>0.58448275862068966</v>
      </c>
      <c r="AE118" s="57">
        <f t="shared" si="22"/>
        <v>0.5679012345679012</v>
      </c>
      <c r="AF118" s="55">
        <f t="shared" si="23"/>
        <v>0.36659436008676788</v>
      </c>
      <c r="AG118" s="55">
        <f t="shared" si="24"/>
        <v>5.4263565891472861E-2</v>
      </c>
      <c r="AH118" s="57">
        <f t="shared" si="25"/>
        <v>1</v>
      </c>
      <c r="AI118" s="55">
        <f t="shared" si="26"/>
        <v>9.8231827111984291E-2</v>
      </c>
      <c r="AJ118" s="55">
        <f t="shared" si="27"/>
        <v>0.21247739602169982</v>
      </c>
      <c r="AK118" s="55">
        <f t="shared" si="28"/>
        <v>0.1</v>
      </c>
      <c r="AL118" s="55">
        <f t="shared" si="29"/>
        <v>0.22843127825334233</v>
      </c>
      <c r="AM118" s="55">
        <f t="shared" si="30"/>
        <v>0.1825</v>
      </c>
      <c r="AN118" s="57">
        <f t="shared" si="31"/>
        <v>0.46685813227716205</v>
      </c>
      <c r="AO118" s="53">
        <f t="shared" si="32"/>
        <v>0.28419504744572988</v>
      </c>
      <c r="AP118" s="57">
        <f t="shared" si="33"/>
        <v>0.41421867451864475</v>
      </c>
      <c r="AQ118" s="54">
        <f t="shared" si="34"/>
        <v>0</v>
      </c>
      <c r="AS118" s="61">
        <f t="shared" si="35"/>
        <v>35.052999999999997</v>
      </c>
      <c r="AT118" s="61" t="str">
        <f t="shared" si="36"/>
        <v/>
      </c>
    </row>
    <row r="119" spans="1:46" x14ac:dyDescent="0.3">
      <c r="A119" s="55">
        <v>478</v>
      </c>
      <c r="B119" s="57">
        <v>16</v>
      </c>
      <c r="C119" s="55">
        <v>169</v>
      </c>
      <c r="D119" s="55">
        <v>1.3</v>
      </c>
      <c r="E119" s="57">
        <v>2.94</v>
      </c>
      <c r="F119" s="55">
        <v>15</v>
      </c>
      <c r="G119" s="55">
        <v>110</v>
      </c>
      <c r="H119" s="55">
        <v>16</v>
      </c>
      <c r="I119" s="55">
        <v>2.5000000000000001E-3</v>
      </c>
      <c r="J119" s="55">
        <v>49</v>
      </c>
      <c r="K119" s="57">
        <v>240.89099999999999</v>
      </c>
      <c r="L119" s="53">
        <v>59.067</v>
      </c>
      <c r="M119" s="60">
        <f t="shared" si="19"/>
        <v>181.82399999999998</v>
      </c>
      <c r="N119" s="54">
        <f t="shared" si="20"/>
        <v>1</v>
      </c>
      <c r="P119" s="6"/>
      <c r="R119" s="6"/>
      <c r="T119" s="6"/>
      <c r="V119" s="6"/>
      <c r="X119" s="6"/>
      <c r="Z119" s="6"/>
      <c r="AB119" s="8"/>
      <c r="AD119" s="55">
        <f t="shared" si="21"/>
        <v>0.53103448275862064</v>
      </c>
      <c r="AE119" s="57">
        <f t="shared" si="22"/>
        <v>0.93827160493827155</v>
      </c>
      <c r="AF119" s="55">
        <f t="shared" si="23"/>
        <v>0.36659436008676788</v>
      </c>
      <c r="AG119" s="55">
        <f t="shared" si="24"/>
        <v>8.5271317829457363E-2</v>
      </c>
      <c r="AH119" s="57">
        <f t="shared" si="25"/>
        <v>1</v>
      </c>
      <c r="AI119" s="55">
        <f t="shared" si="26"/>
        <v>0.14734774066797643</v>
      </c>
      <c r="AJ119" s="55">
        <f t="shared" si="27"/>
        <v>0.35262206148282099</v>
      </c>
      <c r="AK119" s="55">
        <f t="shared" si="28"/>
        <v>0.11666666666666667</v>
      </c>
      <c r="AL119" s="55">
        <f t="shared" si="29"/>
        <v>0.22843127825334233</v>
      </c>
      <c r="AM119" s="55">
        <f t="shared" si="30"/>
        <v>0.1225</v>
      </c>
      <c r="AN119" s="57">
        <f t="shared" si="31"/>
        <v>0.80074789094063525</v>
      </c>
      <c r="AO119" s="53">
        <f t="shared" si="32"/>
        <v>0.47929123878850904</v>
      </c>
      <c r="AP119" s="57">
        <f t="shared" si="33"/>
        <v>0.69254982248702202</v>
      </c>
      <c r="AQ119" s="54">
        <f t="shared" si="34"/>
        <v>1</v>
      </c>
      <c r="AS119" s="61" t="str">
        <f t="shared" si="35"/>
        <v/>
      </c>
      <c r="AT119" s="61">
        <f t="shared" si="36"/>
        <v>59.067</v>
      </c>
    </row>
    <row r="120" spans="1:46" x14ac:dyDescent="0.3">
      <c r="A120" s="55">
        <v>500</v>
      </c>
      <c r="B120" s="57">
        <v>3</v>
      </c>
      <c r="C120" s="55">
        <v>148</v>
      </c>
      <c r="D120" s="55">
        <v>13.1</v>
      </c>
      <c r="E120" s="57">
        <v>2.94</v>
      </c>
      <c r="F120" s="55">
        <v>10</v>
      </c>
      <c r="G120" s="55">
        <v>89</v>
      </c>
      <c r="H120" s="55">
        <v>16</v>
      </c>
      <c r="I120" s="55">
        <v>2.2000000000000001E-3</v>
      </c>
      <c r="J120" s="55">
        <v>69</v>
      </c>
      <c r="K120" s="57">
        <v>298.54399999999998</v>
      </c>
      <c r="L120" s="53">
        <v>36.529000000000003</v>
      </c>
      <c r="M120" s="60">
        <f t="shared" si="19"/>
        <v>262.01499999999999</v>
      </c>
      <c r="N120" s="54">
        <f t="shared" si="20"/>
        <v>1</v>
      </c>
      <c r="P120" s="6"/>
      <c r="R120" s="6"/>
      <c r="T120" s="6"/>
      <c r="V120" s="6"/>
      <c r="X120" s="6"/>
      <c r="Z120" s="6"/>
      <c r="AB120" s="8"/>
      <c r="AD120" s="55">
        <f t="shared" si="21"/>
        <v>0.56896551724137934</v>
      </c>
      <c r="AE120" s="57">
        <f t="shared" si="22"/>
        <v>0.13580246913580249</v>
      </c>
      <c r="AF120" s="55">
        <f t="shared" si="23"/>
        <v>0.32104121475054231</v>
      </c>
      <c r="AG120" s="55">
        <f t="shared" si="24"/>
        <v>1</v>
      </c>
      <c r="AH120" s="57">
        <f t="shared" si="25"/>
        <v>1</v>
      </c>
      <c r="AI120" s="55">
        <f t="shared" si="26"/>
        <v>9.8231827111984291E-2</v>
      </c>
      <c r="AJ120" s="55">
        <f t="shared" si="27"/>
        <v>0.25768535262206149</v>
      </c>
      <c r="AK120" s="55">
        <f t="shared" si="28"/>
        <v>0.11666666666666667</v>
      </c>
      <c r="AL120" s="55">
        <f t="shared" si="29"/>
        <v>0.19236318168702515</v>
      </c>
      <c r="AM120" s="55">
        <f t="shared" si="30"/>
        <v>0.17249999999999999</v>
      </c>
      <c r="AN120" s="57">
        <f t="shared" si="31"/>
        <v>1</v>
      </c>
      <c r="AO120" s="53">
        <f t="shared" si="32"/>
        <v>0.29618646821786043</v>
      </c>
      <c r="AP120" s="57">
        <f t="shared" si="33"/>
        <v>1</v>
      </c>
      <c r="AQ120" s="54">
        <f t="shared" si="34"/>
        <v>1</v>
      </c>
      <c r="AS120" s="61" t="str">
        <f t="shared" si="35"/>
        <v/>
      </c>
      <c r="AT120" s="61">
        <f t="shared" si="36"/>
        <v>36.529000000000003</v>
      </c>
    </row>
    <row r="121" spans="1:46" x14ac:dyDescent="0.3">
      <c r="A121" s="55">
        <v>490</v>
      </c>
      <c r="B121" s="57">
        <v>9</v>
      </c>
      <c r="C121" s="55">
        <v>0</v>
      </c>
      <c r="D121" s="55">
        <v>1.3</v>
      </c>
      <c r="E121" s="57">
        <v>2.94</v>
      </c>
      <c r="F121" s="55">
        <v>5</v>
      </c>
      <c r="G121" s="55">
        <v>46</v>
      </c>
      <c r="H121" s="55">
        <v>14</v>
      </c>
      <c r="I121" s="55">
        <v>2.2000000000000001E-3</v>
      </c>
      <c r="J121" s="55">
        <v>0</v>
      </c>
      <c r="K121" s="57">
        <v>109.94499999999999</v>
      </c>
      <c r="L121" s="53">
        <v>22.498000000000001</v>
      </c>
      <c r="M121" s="60">
        <f t="shared" si="19"/>
        <v>87.446999999999989</v>
      </c>
      <c r="N121" s="54">
        <f t="shared" si="20"/>
        <v>0</v>
      </c>
      <c r="P121" s="6"/>
      <c r="R121" s="6"/>
      <c r="T121" s="6"/>
      <c r="V121" s="6"/>
      <c r="X121" s="6"/>
      <c r="Z121" s="6"/>
      <c r="AB121" s="8"/>
      <c r="AD121" s="55">
        <f t="shared" si="21"/>
        <v>0.55172413793103448</v>
      </c>
      <c r="AE121" s="57">
        <f t="shared" si="22"/>
        <v>0.50617283950617287</v>
      </c>
      <c r="AF121" s="55">
        <f t="shared" si="23"/>
        <v>0</v>
      </c>
      <c r="AG121" s="55">
        <f t="shared" si="24"/>
        <v>8.5271317829457363E-2</v>
      </c>
      <c r="AH121" s="57">
        <f t="shared" si="25"/>
        <v>1</v>
      </c>
      <c r="AI121" s="55">
        <f t="shared" si="26"/>
        <v>4.9115913555992145E-2</v>
      </c>
      <c r="AJ121" s="55">
        <f t="shared" si="27"/>
        <v>6.3291139240506333E-2</v>
      </c>
      <c r="AK121" s="55">
        <f t="shared" si="28"/>
        <v>8.3333333333333329E-2</v>
      </c>
      <c r="AL121" s="55">
        <f t="shared" si="29"/>
        <v>0.19236318168702515</v>
      </c>
      <c r="AM121" s="55">
        <f t="shared" si="30"/>
        <v>0</v>
      </c>
      <c r="AN121" s="57">
        <f t="shared" si="31"/>
        <v>0.34819092646545496</v>
      </c>
      <c r="AO121" s="53">
        <f t="shared" si="32"/>
        <v>0.18219485246327832</v>
      </c>
      <c r="AP121" s="57">
        <f t="shared" si="33"/>
        <v>0.33071089538619614</v>
      </c>
      <c r="AQ121" s="54">
        <f t="shared" si="34"/>
        <v>0</v>
      </c>
      <c r="AS121" s="61">
        <f t="shared" si="35"/>
        <v>22.498000000000001</v>
      </c>
      <c r="AT121" s="61" t="str">
        <f t="shared" si="36"/>
        <v/>
      </c>
    </row>
    <row r="122" spans="1:46" x14ac:dyDescent="0.3">
      <c r="A122" s="55">
        <v>470</v>
      </c>
      <c r="B122" s="57">
        <v>6</v>
      </c>
      <c r="C122" s="55">
        <v>165</v>
      </c>
      <c r="D122" s="55">
        <v>2.8</v>
      </c>
      <c r="E122" s="57">
        <v>2.94</v>
      </c>
      <c r="F122" s="55">
        <v>5</v>
      </c>
      <c r="G122" s="55">
        <v>46</v>
      </c>
      <c r="H122" s="55">
        <v>14</v>
      </c>
      <c r="I122" s="55">
        <v>1.6999999999999999E-3</v>
      </c>
      <c r="J122" s="55">
        <v>66</v>
      </c>
      <c r="K122" s="57">
        <v>157.08699999999999</v>
      </c>
      <c r="L122" s="53">
        <v>13.241</v>
      </c>
      <c r="M122" s="60">
        <f t="shared" si="19"/>
        <v>143.846</v>
      </c>
      <c r="N122" s="54">
        <f t="shared" si="20"/>
        <v>0</v>
      </c>
      <c r="P122" s="6"/>
      <c r="R122" s="6"/>
      <c r="T122" s="6"/>
      <c r="V122" s="6"/>
      <c r="X122" s="6"/>
      <c r="Z122" s="6"/>
      <c r="AB122" s="8"/>
      <c r="AD122" s="55">
        <f t="shared" si="21"/>
        <v>0.51724137931034486</v>
      </c>
      <c r="AE122" s="57">
        <f t="shared" si="22"/>
        <v>0.32098765432098769</v>
      </c>
      <c r="AF122" s="55">
        <f t="shared" si="23"/>
        <v>0.35791757049891543</v>
      </c>
      <c r="AG122" s="55">
        <f t="shared" si="24"/>
        <v>0.20155038759689919</v>
      </c>
      <c r="AH122" s="57">
        <f t="shared" si="25"/>
        <v>1</v>
      </c>
      <c r="AI122" s="55">
        <f t="shared" si="26"/>
        <v>4.9115913555992145E-2</v>
      </c>
      <c r="AJ122" s="55">
        <f t="shared" si="27"/>
        <v>6.3291139240506333E-2</v>
      </c>
      <c r="AK122" s="55">
        <f t="shared" si="28"/>
        <v>8.3333333333333329E-2</v>
      </c>
      <c r="AL122" s="55">
        <f t="shared" si="29"/>
        <v>0.13224968740982976</v>
      </c>
      <c r="AM122" s="55">
        <f t="shared" si="30"/>
        <v>0.16500000000000001</v>
      </c>
      <c r="AN122" s="57">
        <f t="shared" si="31"/>
        <v>0.51111641039996958</v>
      </c>
      <c r="AO122" s="53">
        <f t="shared" si="32"/>
        <v>0.10698849603535683</v>
      </c>
      <c r="AP122" s="57">
        <f t="shared" si="33"/>
        <v>0.54694317284319827</v>
      </c>
      <c r="AQ122" s="54">
        <f t="shared" si="34"/>
        <v>0</v>
      </c>
      <c r="AS122" s="61">
        <f t="shared" si="35"/>
        <v>13.241</v>
      </c>
      <c r="AT122" s="61" t="str">
        <f t="shared" si="36"/>
        <v/>
      </c>
    </row>
    <row r="123" spans="1:46" x14ac:dyDescent="0.3">
      <c r="A123" s="55">
        <v>370</v>
      </c>
      <c r="B123" s="57">
        <v>10</v>
      </c>
      <c r="C123" s="55">
        <v>150</v>
      </c>
      <c r="D123" s="55">
        <v>1.3</v>
      </c>
      <c r="E123" s="57">
        <v>2.94</v>
      </c>
      <c r="F123" s="55">
        <v>7</v>
      </c>
      <c r="G123" s="55">
        <v>48</v>
      </c>
      <c r="H123" s="55">
        <v>18</v>
      </c>
      <c r="I123" s="55">
        <v>2E-3</v>
      </c>
      <c r="J123" s="55">
        <v>106</v>
      </c>
      <c r="K123" s="57">
        <v>140.136</v>
      </c>
      <c r="L123" s="53">
        <v>26.725000000000001</v>
      </c>
      <c r="M123" s="60">
        <f t="shared" si="19"/>
        <v>113.411</v>
      </c>
      <c r="N123" s="54">
        <f t="shared" si="20"/>
        <v>0</v>
      </c>
      <c r="P123" s="6"/>
      <c r="R123" s="6"/>
      <c r="T123" s="6"/>
      <c r="V123" s="6"/>
      <c r="X123" s="6"/>
      <c r="Z123" s="6"/>
      <c r="AB123" s="8"/>
      <c r="AD123" s="55">
        <f t="shared" si="21"/>
        <v>0.34482758620689657</v>
      </c>
      <c r="AE123" s="57">
        <f t="shared" si="22"/>
        <v>0.5679012345679012</v>
      </c>
      <c r="AF123" s="55">
        <f t="shared" si="23"/>
        <v>0.32537960954446854</v>
      </c>
      <c r="AG123" s="55">
        <f t="shared" si="24"/>
        <v>8.5271317829457363E-2</v>
      </c>
      <c r="AH123" s="57">
        <f t="shared" si="25"/>
        <v>1</v>
      </c>
      <c r="AI123" s="55">
        <f t="shared" si="26"/>
        <v>6.8762278978389005E-2</v>
      </c>
      <c r="AJ123" s="55">
        <f t="shared" si="27"/>
        <v>7.2332730560578665E-2</v>
      </c>
      <c r="AK123" s="55">
        <f t="shared" si="28"/>
        <v>0.15</v>
      </c>
      <c r="AL123" s="55">
        <f t="shared" si="29"/>
        <v>0.168317783976147</v>
      </c>
      <c r="AM123" s="55">
        <f t="shared" si="30"/>
        <v>0.26500000000000001</v>
      </c>
      <c r="AN123" s="57">
        <f t="shared" si="31"/>
        <v>0.45253277206952208</v>
      </c>
      <c r="AO123" s="53">
        <f t="shared" si="32"/>
        <v>0.21653613674769273</v>
      </c>
      <c r="AP123" s="57">
        <f t="shared" si="33"/>
        <v>0.43025618611641486</v>
      </c>
      <c r="AQ123" s="54">
        <f t="shared" si="34"/>
        <v>0</v>
      </c>
      <c r="AS123" s="61">
        <f t="shared" si="35"/>
        <v>26.725000000000001</v>
      </c>
      <c r="AT123" s="61" t="str">
        <f t="shared" si="36"/>
        <v/>
      </c>
    </row>
    <row r="124" spans="1:46" x14ac:dyDescent="0.3">
      <c r="A124" s="55">
        <v>480</v>
      </c>
      <c r="B124" s="57">
        <v>4</v>
      </c>
      <c r="C124" s="55">
        <v>150</v>
      </c>
      <c r="D124" s="55">
        <v>1.5</v>
      </c>
      <c r="E124" s="57">
        <v>2.94</v>
      </c>
      <c r="F124" s="55">
        <v>0</v>
      </c>
      <c r="G124" s="55">
        <v>51</v>
      </c>
      <c r="H124" s="55">
        <v>15</v>
      </c>
      <c r="I124" s="55">
        <v>1.9E-3</v>
      </c>
      <c r="J124" s="55">
        <v>32</v>
      </c>
      <c r="K124" s="57">
        <v>87.989000000000004</v>
      </c>
      <c r="L124" s="53">
        <v>7.3559999999999999</v>
      </c>
      <c r="M124" s="60">
        <f t="shared" si="19"/>
        <v>80.63300000000001</v>
      </c>
      <c r="N124" s="54">
        <f t="shared" si="20"/>
        <v>0</v>
      </c>
      <c r="P124" s="6"/>
      <c r="R124" s="6"/>
      <c r="T124" s="6"/>
      <c r="V124" s="6"/>
      <c r="X124" s="6"/>
      <c r="Z124" s="6"/>
      <c r="AB124" s="8"/>
      <c r="AD124" s="55">
        <f t="shared" si="21"/>
        <v>0.53448275862068961</v>
      </c>
      <c r="AE124" s="57">
        <f t="shared" si="22"/>
        <v>0.19753086419753088</v>
      </c>
      <c r="AF124" s="55">
        <f t="shared" si="23"/>
        <v>0.32537960954446854</v>
      </c>
      <c r="AG124" s="55">
        <f t="shared" si="24"/>
        <v>0.10077519379844961</v>
      </c>
      <c r="AH124" s="57">
        <f t="shared" si="25"/>
        <v>1</v>
      </c>
      <c r="AI124" s="55">
        <f t="shared" si="26"/>
        <v>0</v>
      </c>
      <c r="AJ124" s="55">
        <f t="shared" si="27"/>
        <v>8.5895117540687169E-2</v>
      </c>
      <c r="AK124" s="55">
        <f t="shared" si="28"/>
        <v>0.1</v>
      </c>
      <c r="AL124" s="55">
        <f t="shared" si="29"/>
        <v>0.15629508512070789</v>
      </c>
      <c r="AM124" s="55">
        <f t="shared" si="30"/>
        <v>0.08</v>
      </c>
      <c r="AN124" s="57">
        <f t="shared" si="31"/>
        <v>0.27230971808935295</v>
      </c>
      <c r="AO124" s="53">
        <f t="shared" si="32"/>
        <v>5.9177174054335112E-2</v>
      </c>
      <c r="AP124" s="57">
        <f t="shared" si="33"/>
        <v>0.30458619922860464</v>
      </c>
      <c r="AQ124" s="54">
        <f t="shared" si="34"/>
        <v>0</v>
      </c>
      <c r="AS124" s="61">
        <f t="shared" si="35"/>
        <v>7.3559999999999999</v>
      </c>
      <c r="AT124" s="61" t="str">
        <f t="shared" si="36"/>
        <v/>
      </c>
    </row>
    <row r="125" spans="1:46" x14ac:dyDescent="0.3">
      <c r="A125" s="55">
        <v>287</v>
      </c>
      <c r="B125" s="57">
        <v>5</v>
      </c>
      <c r="C125" s="55">
        <v>180</v>
      </c>
      <c r="D125" s="55">
        <v>2.5</v>
      </c>
      <c r="E125" s="57">
        <v>2.94</v>
      </c>
      <c r="F125" s="55">
        <v>5</v>
      </c>
      <c r="G125" s="55">
        <v>57</v>
      </c>
      <c r="H125" s="55">
        <v>12</v>
      </c>
      <c r="I125" s="55">
        <v>2.3E-3</v>
      </c>
      <c r="J125" s="55">
        <v>77</v>
      </c>
      <c r="K125" s="57">
        <v>59.249000000000002</v>
      </c>
      <c r="L125" s="53">
        <v>16.016999999999999</v>
      </c>
      <c r="M125" s="60">
        <f t="shared" si="19"/>
        <v>43.231999999999999</v>
      </c>
      <c r="N125" s="54">
        <f t="shared" si="20"/>
        <v>0</v>
      </c>
      <c r="P125" s="6"/>
      <c r="R125" s="6"/>
      <c r="T125" s="6"/>
      <c r="V125" s="6"/>
      <c r="X125" s="6"/>
      <c r="Z125" s="6"/>
      <c r="AB125" s="8"/>
      <c r="AD125" s="55">
        <f t="shared" si="21"/>
        <v>0.20172413793103447</v>
      </c>
      <c r="AE125" s="57">
        <f t="shared" si="22"/>
        <v>0.2592592592592593</v>
      </c>
      <c r="AF125" s="55">
        <f t="shared" si="23"/>
        <v>0.39045553145336226</v>
      </c>
      <c r="AG125" s="55">
        <f t="shared" si="24"/>
        <v>0.17829457364341084</v>
      </c>
      <c r="AH125" s="57">
        <f t="shared" si="25"/>
        <v>1</v>
      </c>
      <c r="AI125" s="55">
        <f t="shared" si="26"/>
        <v>4.9115913555992145E-2</v>
      </c>
      <c r="AJ125" s="55">
        <f t="shared" si="27"/>
        <v>0.11301989150090416</v>
      </c>
      <c r="AK125" s="55">
        <f t="shared" si="28"/>
        <v>0.05</v>
      </c>
      <c r="AL125" s="55">
        <f t="shared" si="29"/>
        <v>0.2043858805424642</v>
      </c>
      <c r="AM125" s="55">
        <f t="shared" si="30"/>
        <v>0.1925</v>
      </c>
      <c r="AN125" s="57">
        <f t="shared" si="31"/>
        <v>0.17298261257244765</v>
      </c>
      <c r="AO125" s="53">
        <f t="shared" si="32"/>
        <v>0.12954146626803589</v>
      </c>
      <c r="AP125" s="57">
        <f t="shared" si="33"/>
        <v>0.1611917523559768</v>
      </c>
      <c r="AQ125" s="54">
        <f t="shared" si="34"/>
        <v>0</v>
      </c>
      <c r="AS125" s="61">
        <f t="shared" si="35"/>
        <v>16.016999999999999</v>
      </c>
      <c r="AT125" s="61" t="str">
        <f t="shared" si="36"/>
        <v/>
      </c>
    </row>
    <row r="126" spans="1:46" x14ac:dyDescent="0.3">
      <c r="A126" s="55">
        <v>170</v>
      </c>
      <c r="B126" s="57">
        <v>5</v>
      </c>
      <c r="C126" s="55">
        <v>150</v>
      </c>
      <c r="D126" s="55">
        <v>2.5</v>
      </c>
      <c r="E126" s="57">
        <v>2.94</v>
      </c>
      <c r="F126" s="55">
        <v>5</v>
      </c>
      <c r="G126" s="55">
        <v>53</v>
      </c>
      <c r="H126" s="55">
        <v>11</v>
      </c>
      <c r="I126" s="55">
        <v>2.3E-3</v>
      </c>
      <c r="J126" s="55">
        <v>75</v>
      </c>
      <c r="K126" s="57">
        <v>26.038</v>
      </c>
      <c r="L126" s="53">
        <v>11.792999999999999</v>
      </c>
      <c r="M126" s="60">
        <f t="shared" si="19"/>
        <v>14.245000000000001</v>
      </c>
      <c r="N126" s="54">
        <f t="shared" si="20"/>
        <v>0</v>
      </c>
      <c r="P126" s="6"/>
      <c r="R126" s="6"/>
      <c r="T126" s="6"/>
      <c r="V126" s="6"/>
      <c r="X126" s="6"/>
      <c r="Z126" s="6"/>
      <c r="AB126" s="8"/>
      <c r="AD126" s="55">
        <f t="shared" si="21"/>
        <v>0</v>
      </c>
      <c r="AE126" s="57">
        <f t="shared" si="22"/>
        <v>0.2592592592592593</v>
      </c>
      <c r="AF126" s="55">
        <f t="shared" si="23"/>
        <v>0.32537960954446854</v>
      </c>
      <c r="AG126" s="55">
        <f t="shared" si="24"/>
        <v>0.17829457364341084</v>
      </c>
      <c r="AH126" s="57">
        <f t="shared" si="25"/>
        <v>1</v>
      </c>
      <c r="AI126" s="55">
        <f t="shared" si="26"/>
        <v>4.9115913555992145E-2</v>
      </c>
      <c r="AJ126" s="55">
        <f t="shared" si="27"/>
        <v>9.49367088607595E-2</v>
      </c>
      <c r="AK126" s="55">
        <f t="shared" si="28"/>
        <v>3.3333333333333333E-2</v>
      </c>
      <c r="AL126" s="55">
        <f t="shared" si="29"/>
        <v>0.2043858805424642</v>
      </c>
      <c r="AM126" s="55">
        <f t="shared" si="30"/>
        <v>0.1875</v>
      </c>
      <c r="AN126" s="57">
        <f t="shared" si="31"/>
        <v>5.8203471955817765E-2</v>
      </c>
      <c r="AO126" s="53">
        <f t="shared" si="32"/>
        <v>9.5224554790068902E-2</v>
      </c>
      <c r="AP126" s="57">
        <f t="shared" si="33"/>
        <v>5.0056359412021821E-2</v>
      </c>
      <c r="AQ126" s="54">
        <f t="shared" si="34"/>
        <v>0</v>
      </c>
      <c r="AS126" s="61">
        <f t="shared" si="35"/>
        <v>11.792999999999999</v>
      </c>
      <c r="AT126" s="61" t="str">
        <f t="shared" si="36"/>
        <v/>
      </c>
    </row>
    <row r="127" spans="1:46" x14ac:dyDescent="0.3">
      <c r="A127" s="55">
        <v>569</v>
      </c>
      <c r="B127" s="57">
        <v>10</v>
      </c>
      <c r="C127" s="55">
        <v>160</v>
      </c>
      <c r="D127" s="55">
        <v>1.3</v>
      </c>
      <c r="E127" s="57">
        <v>2.94</v>
      </c>
      <c r="F127" s="55">
        <v>5</v>
      </c>
      <c r="G127" s="55">
        <v>46</v>
      </c>
      <c r="H127" s="55">
        <v>16</v>
      </c>
      <c r="I127" s="55">
        <v>2E-3</v>
      </c>
      <c r="J127" s="55">
        <v>73</v>
      </c>
      <c r="K127" s="57">
        <v>108.003</v>
      </c>
      <c r="L127" s="53">
        <v>28.756</v>
      </c>
      <c r="M127" s="60">
        <f t="shared" si="19"/>
        <v>79.247</v>
      </c>
      <c r="N127" s="54">
        <f t="shared" si="20"/>
        <v>0</v>
      </c>
      <c r="P127" s="6"/>
      <c r="R127" s="6"/>
      <c r="T127" s="6"/>
      <c r="V127" s="6"/>
      <c r="X127" s="6"/>
      <c r="Z127" s="6"/>
      <c r="AB127" s="8"/>
      <c r="AD127" s="55">
        <f t="shared" si="21"/>
        <v>0.68793103448275861</v>
      </c>
      <c r="AE127" s="57">
        <f t="shared" si="22"/>
        <v>0.5679012345679012</v>
      </c>
      <c r="AF127" s="55">
        <f t="shared" si="23"/>
        <v>0.34707158351409978</v>
      </c>
      <c r="AG127" s="55">
        <f t="shared" si="24"/>
        <v>8.5271317829457363E-2</v>
      </c>
      <c r="AH127" s="57">
        <f t="shared" si="25"/>
        <v>1</v>
      </c>
      <c r="AI127" s="55">
        <f t="shared" si="26"/>
        <v>4.9115913555992145E-2</v>
      </c>
      <c r="AJ127" s="55">
        <f t="shared" si="27"/>
        <v>6.3291139240506333E-2</v>
      </c>
      <c r="AK127" s="55">
        <f t="shared" si="28"/>
        <v>0.11666666666666667</v>
      </c>
      <c r="AL127" s="55">
        <f t="shared" si="29"/>
        <v>0.168317783976147</v>
      </c>
      <c r="AM127" s="55">
        <f t="shared" si="30"/>
        <v>0.1825</v>
      </c>
      <c r="AN127" s="57">
        <f t="shared" si="31"/>
        <v>0.34147926192426398</v>
      </c>
      <c r="AO127" s="53">
        <f t="shared" si="32"/>
        <v>0.23303652671259589</v>
      </c>
      <c r="AP127" s="57">
        <f t="shared" si="33"/>
        <v>0.2992723118094055</v>
      </c>
      <c r="AQ127" s="54">
        <f t="shared" si="34"/>
        <v>0</v>
      </c>
      <c r="AS127" s="61">
        <f t="shared" si="35"/>
        <v>28.756</v>
      </c>
      <c r="AT127" s="61" t="str">
        <f t="shared" si="36"/>
        <v/>
      </c>
    </row>
    <row r="128" spans="1:46" x14ac:dyDescent="0.3">
      <c r="A128" s="55">
        <v>270</v>
      </c>
      <c r="B128" s="57">
        <v>7</v>
      </c>
      <c r="C128" s="55">
        <v>156</v>
      </c>
      <c r="D128" s="55">
        <v>4.5999999999999996</v>
      </c>
      <c r="E128" s="57">
        <v>2.94</v>
      </c>
      <c r="F128" s="55">
        <v>15</v>
      </c>
      <c r="G128" s="55">
        <v>95</v>
      </c>
      <c r="H128" s="55">
        <v>13</v>
      </c>
      <c r="I128" s="55">
        <v>3.5000000000000001E-3</v>
      </c>
      <c r="J128" s="55">
        <v>77</v>
      </c>
      <c r="K128" s="57">
        <v>29.443999999999999</v>
      </c>
      <c r="L128" s="53">
        <v>25.393999999999998</v>
      </c>
      <c r="M128" s="60">
        <f t="shared" si="19"/>
        <v>4.0500000000000007</v>
      </c>
      <c r="N128" s="54">
        <f t="shared" si="20"/>
        <v>0</v>
      </c>
      <c r="P128" s="6"/>
      <c r="R128" s="6"/>
      <c r="T128" s="6"/>
      <c r="V128" s="6"/>
      <c r="X128" s="6"/>
      <c r="Z128" s="6"/>
      <c r="AB128" s="8"/>
      <c r="AD128" s="55">
        <f t="shared" si="21"/>
        <v>0.17241379310344829</v>
      </c>
      <c r="AE128" s="57">
        <f t="shared" si="22"/>
        <v>0.38271604938271608</v>
      </c>
      <c r="AF128" s="55">
        <f t="shared" si="23"/>
        <v>0.33839479392624727</v>
      </c>
      <c r="AG128" s="55">
        <f t="shared" si="24"/>
        <v>0.3410852713178294</v>
      </c>
      <c r="AH128" s="57">
        <f t="shared" si="25"/>
        <v>1</v>
      </c>
      <c r="AI128" s="55">
        <f t="shared" si="26"/>
        <v>0.14734774066797643</v>
      </c>
      <c r="AJ128" s="55">
        <f t="shared" si="27"/>
        <v>0.2848101265822785</v>
      </c>
      <c r="AK128" s="55">
        <f t="shared" si="28"/>
        <v>6.6666666666666666E-2</v>
      </c>
      <c r="AL128" s="55">
        <f t="shared" si="29"/>
        <v>0.34865826680773304</v>
      </c>
      <c r="AM128" s="55">
        <f t="shared" si="30"/>
        <v>0.1925</v>
      </c>
      <c r="AN128" s="57">
        <f t="shared" si="31"/>
        <v>6.9974805337535903E-2</v>
      </c>
      <c r="AO128" s="53">
        <f t="shared" si="32"/>
        <v>0.20572273495385415</v>
      </c>
      <c r="AP128" s="57">
        <f t="shared" si="33"/>
        <v>1.0968998489414402E-2</v>
      </c>
      <c r="AQ128" s="54">
        <f t="shared" si="34"/>
        <v>0</v>
      </c>
      <c r="AS128" s="61">
        <f t="shared" si="35"/>
        <v>25.393999999999998</v>
      </c>
      <c r="AT128" s="61" t="str">
        <f t="shared" si="36"/>
        <v/>
      </c>
    </row>
    <row r="129" spans="1:46" x14ac:dyDescent="0.3">
      <c r="A129" s="55">
        <v>400</v>
      </c>
      <c r="B129" s="57">
        <v>10</v>
      </c>
      <c r="C129" s="55">
        <v>142</v>
      </c>
      <c r="D129" s="55">
        <v>2.8</v>
      </c>
      <c r="E129" s="57">
        <v>2.94</v>
      </c>
      <c r="F129" s="55">
        <v>10</v>
      </c>
      <c r="G129" s="55">
        <v>84</v>
      </c>
      <c r="H129" s="55">
        <v>13</v>
      </c>
      <c r="I129" s="55">
        <v>2.1000000000000003E-3</v>
      </c>
      <c r="J129" s="55">
        <v>64</v>
      </c>
      <c r="K129" s="57">
        <v>64.120999999999995</v>
      </c>
      <c r="L129" s="53">
        <v>21.952999999999999</v>
      </c>
      <c r="M129" s="60">
        <f t="shared" si="19"/>
        <v>42.167999999999992</v>
      </c>
      <c r="N129" s="54">
        <f t="shared" si="20"/>
        <v>0</v>
      </c>
      <c r="P129" s="6"/>
      <c r="R129" s="6"/>
      <c r="T129" s="6"/>
      <c r="V129" s="6"/>
      <c r="X129" s="6"/>
      <c r="Z129" s="6"/>
      <c r="AB129" s="8"/>
      <c r="AD129" s="55">
        <f t="shared" si="21"/>
        <v>0.39655172413793105</v>
      </c>
      <c r="AE129" s="57">
        <f t="shared" si="22"/>
        <v>0.5679012345679012</v>
      </c>
      <c r="AF129" s="55">
        <f t="shared" si="23"/>
        <v>0.30802603036876358</v>
      </c>
      <c r="AG129" s="55">
        <f t="shared" si="24"/>
        <v>0.20155038759689919</v>
      </c>
      <c r="AH129" s="57">
        <f t="shared" si="25"/>
        <v>1</v>
      </c>
      <c r="AI129" s="55">
        <f t="shared" si="26"/>
        <v>9.8231827111984291E-2</v>
      </c>
      <c r="AJ129" s="55">
        <f t="shared" si="27"/>
        <v>0.23508137432188067</v>
      </c>
      <c r="AK129" s="55">
        <f t="shared" si="28"/>
        <v>6.6666666666666666E-2</v>
      </c>
      <c r="AL129" s="55">
        <f t="shared" si="29"/>
        <v>0.1803404828315861</v>
      </c>
      <c r="AM129" s="55">
        <f t="shared" si="30"/>
        <v>0.16</v>
      </c>
      <c r="AN129" s="57">
        <f t="shared" si="31"/>
        <v>0.18982052691059523</v>
      </c>
      <c r="AO129" s="53">
        <f t="shared" si="32"/>
        <v>0.17776712595866373</v>
      </c>
      <c r="AP129" s="57">
        <f t="shared" si="33"/>
        <v>0.15711240443820784</v>
      </c>
      <c r="AQ129" s="54">
        <f t="shared" si="34"/>
        <v>0</v>
      </c>
      <c r="AS129" s="61">
        <f t="shared" si="35"/>
        <v>21.952999999999999</v>
      </c>
      <c r="AT129" s="61" t="str">
        <f t="shared" si="36"/>
        <v/>
      </c>
    </row>
    <row r="130" spans="1:46" x14ac:dyDescent="0.3">
      <c r="A130" s="55">
        <v>260</v>
      </c>
      <c r="B130" s="57">
        <v>7</v>
      </c>
      <c r="C130" s="55">
        <v>165</v>
      </c>
      <c r="D130" s="55">
        <v>1.4</v>
      </c>
      <c r="E130" s="57">
        <v>2.94</v>
      </c>
      <c r="F130" s="55">
        <v>6</v>
      </c>
      <c r="G130" s="55">
        <v>59</v>
      </c>
      <c r="H130" s="55">
        <v>19</v>
      </c>
      <c r="I130" s="55">
        <v>1.6999999999999999E-3</v>
      </c>
      <c r="J130" s="55">
        <v>109</v>
      </c>
      <c r="K130" s="57">
        <v>9.5180000000000007</v>
      </c>
      <c r="L130" s="53">
        <v>3.456</v>
      </c>
      <c r="M130" s="60">
        <f t="shared" si="19"/>
        <v>6.0620000000000012</v>
      </c>
      <c r="N130" s="54">
        <f t="shared" si="20"/>
        <v>0</v>
      </c>
      <c r="P130" s="6"/>
      <c r="R130" s="6"/>
      <c r="T130" s="6"/>
      <c r="V130" s="6"/>
      <c r="X130" s="6"/>
      <c r="Z130" s="6"/>
      <c r="AB130" s="8"/>
      <c r="AD130" s="55">
        <f t="shared" si="21"/>
        <v>0.15517241379310345</v>
      </c>
      <c r="AE130" s="57">
        <f t="shared" si="22"/>
        <v>0.38271604938271608</v>
      </c>
      <c r="AF130" s="55">
        <f t="shared" si="23"/>
        <v>0.35791757049891543</v>
      </c>
      <c r="AG130" s="55">
        <f t="shared" si="24"/>
        <v>9.3023255813953487E-2</v>
      </c>
      <c r="AH130" s="57">
        <f t="shared" si="25"/>
        <v>1</v>
      </c>
      <c r="AI130" s="55">
        <f t="shared" si="26"/>
        <v>5.8939096267190572E-2</v>
      </c>
      <c r="AJ130" s="55">
        <f t="shared" si="27"/>
        <v>0.12206148282097649</v>
      </c>
      <c r="AK130" s="55">
        <f t="shared" si="28"/>
        <v>0.16666666666666666</v>
      </c>
      <c r="AL130" s="55">
        <f t="shared" si="29"/>
        <v>0.13224968740982976</v>
      </c>
      <c r="AM130" s="55">
        <f t="shared" si="30"/>
        <v>0.27250000000000002</v>
      </c>
      <c r="AN130" s="57">
        <f t="shared" si="31"/>
        <v>1.1093946023286972E-3</v>
      </c>
      <c r="AO130" s="53">
        <f t="shared" si="32"/>
        <v>2.749252567268946E-2</v>
      </c>
      <c r="AP130" s="57">
        <f t="shared" si="33"/>
        <v>1.8682953386548892E-2</v>
      </c>
      <c r="AQ130" s="54">
        <f t="shared" si="34"/>
        <v>0</v>
      </c>
      <c r="AS130" s="61">
        <f t="shared" si="35"/>
        <v>3.456</v>
      </c>
      <c r="AT130" s="61" t="str">
        <f t="shared" si="36"/>
        <v/>
      </c>
    </row>
    <row r="131" spans="1:46" x14ac:dyDescent="0.3">
      <c r="A131" s="55">
        <v>300</v>
      </c>
      <c r="B131" s="57">
        <v>8</v>
      </c>
      <c r="C131" s="55">
        <v>135</v>
      </c>
      <c r="D131" s="55">
        <v>1.5</v>
      </c>
      <c r="E131" s="57">
        <v>2.94</v>
      </c>
      <c r="F131" s="55">
        <v>5</v>
      </c>
      <c r="G131" s="55">
        <v>63</v>
      </c>
      <c r="H131" s="55">
        <v>12</v>
      </c>
      <c r="I131" s="55">
        <v>1.8E-3</v>
      </c>
      <c r="J131" s="55">
        <v>52</v>
      </c>
      <c r="K131" s="57">
        <v>13.478999999999999</v>
      </c>
      <c r="L131" s="53">
        <v>7.39</v>
      </c>
      <c r="M131" s="60">
        <f t="shared" ref="M131:M187" si="37">K131-L131</f>
        <v>6.0889999999999995</v>
      </c>
      <c r="N131" s="54">
        <f t="shared" si="20"/>
        <v>0</v>
      </c>
      <c r="P131" s="6"/>
      <c r="R131" s="6"/>
      <c r="T131" s="6"/>
      <c r="V131" s="6"/>
      <c r="X131" s="6"/>
      <c r="Z131" s="6"/>
      <c r="AB131" s="8"/>
      <c r="AD131" s="55">
        <f t="shared" si="21"/>
        <v>0.22413793103448276</v>
      </c>
      <c r="AE131" s="57">
        <f t="shared" si="22"/>
        <v>0.44444444444444448</v>
      </c>
      <c r="AF131" s="55">
        <f t="shared" si="23"/>
        <v>0.29284164859002171</v>
      </c>
      <c r="AG131" s="55">
        <f t="shared" si="24"/>
        <v>0.10077519379844961</v>
      </c>
      <c r="AH131" s="57">
        <f t="shared" si="25"/>
        <v>1</v>
      </c>
      <c r="AI131" s="55">
        <f t="shared" si="26"/>
        <v>4.9115913555992145E-2</v>
      </c>
      <c r="AJ131" s="55">
        <f t="shared" si="27"/>
        <v>0.14014466546112117</v>
      </c>
      <c r="AK131" s="55">
        <f t="shared" si="28"/>
        <v>0.05</v>
      </c>
      <c r="AL131" s="55">
        <f t="shared" si="29"/>
        <v>0.14427238626526884</v>
      </c>
      <c r="AM131" s="55">
        <f t="shared" si="30"/>
        <v>0.13</v>
      </c>
      <c r="AN131" s="57">
        <f t="shared" si="31"/>
        <v>1.4798840146951585E-2</v>
      </c>
      <c r="AO131" s="53">
        <f t="shared" si="32"/>
        <v>5.9453399194072533E-2</v>
      </c>
      <c r="AP131" s="57">
        <f t="shared" si="33"/>
        <v>1.8786470673935882E-2</v>
      </c>
      <c r="AQ131" s="54">
        <f t="shared" si="34"/>
        <v>0</v>
      </c>
      <c r="AS131" s="61">
        <f t="shared" si="35"/>
        <v>7.39</v>
      </c>
      <c r="AT131" s="61" t="str">
        <f t="shared" si="36"/>
        <v/>
      </c>
    </row>
    <row r="132" spans="1:46" x14ac:dyDescent="0.3">
      <c r="A132" s="55">
        <v>330</v>
      </c>
      <c r="B132" s="57">
        <v>3</v>
      </c>
      <c r="C132" s="55">
        <v>156</v>
      </c>
      <c r="D132" s="55">
        <v>4.7</v>
      </c>
      <c r="E132" s="57">
        <v>2.94</v>
      </c>
      <c r="F132" s="55">
        <v>5</v>
      </c>
      <c r="G132" s="55">
        <v>61</v>
      </c>
      <c r="H132" s="55">
        <v>11</v>
      </c>
      <c r="I132" s="55">
        <v>1.6999999999999999E-3</v>
      </c>
      <c r="J132" s="55">
        <v>55</v>
      </c>
      <c r="K132" s="57">
        <v>43.485999999999997</v>
      </c>
      <c r="L132" s="53">
        <v>30.359000000000002</v>
      </c>
      <c r="M132" s="60">
        <f t="shared" si="37"/>
        <v>13.126999999999995</v>
      </c>
      <c r="N132" s="54">
        <f t="shared" ref="N132:N187" si="38">IF(L132&lt;$T$16,0,1)</f>
        <v>0</v>
      </c>
      <c r="P132" s="6"/>
      <c r="R132" s="6"/>
      <c r="T132" s="6"/>
      <c r="V132" s="6"/>
      <c r="X132" s="6"/>
      <c r="Z132" s="6"/>
      <c r="AB132" s="8"/>
      <c r="AD132" s="55">
        <f t="shared" ref="AD132:AD187" si="39">(A132-$R$2)/($S$2-$R$2)</f>
        <v>0.27586206896551724</v>
      </c>
      <c r="AE132" s="57">
        <f t="shared" ref="AE132:AE187" si="40">(B132-$R$4)/($S$4-$R$4)</f>
        <v>0.13580246913580249</v>
      </c>
      <c r="AF132" s="55">
        <f t="shared" ref="AF132:AF187" si="41">(C132-$R$5)/($S$5-$R$5)</f>
        <v>0.33839479392624727</v>
      </c>
      <c r="AG132" s="55">
        <f t="shared" ref="AG132:AG187" si="42">(D132-$R$6)/($S$6-$R$6)</f>
        <v>0.34883720930232559</v>
      </c>
      <c r="AH132" s="57">
        <f t="shared" ref="AH132:AH187" si="43">(E132-$R$7)/($S$7-$R$7)</f>
        <v>1</v>
      </c>
      <c r="AI132" s="55">
        <f t="shared" ref="AI132:AI187" si="44">(F132-$R$9)/($S$9-$R$9)</f>
        <v>4.9115913555992145E-2</v>
      </c>
      <c r="AJ132" s="55">
        <f t="shared" ref="AJ132:AJ187" si="45">(G132-$R$10)/($S$10-$R$10)</f>
        <v>0.13110307414104883</v>
      </c>
      <c r="AK132" s="55">
        <f t="shared" ref="AK132:AK187" si="46">(H132-$R$11)/($S$11-$R$11)</f>
        <v>3.3333333333333333E-2</v>
      </c>
      <c r="AL132" s="55">
        <f t="shared" ref="AL132:AL187" si="47">(I132-$R$12)/($S$12-$R$12)</f>
        <v>0.13224968740982976</v>
      </c>
      <c r="AM132" s="55">
        <f t="shared" ref="AM132:AM187" si="48">(J132-$R$14)/($S$14-$R$14)</f>
        <v>0.13750000000000001</v>
      </c>
      <c r="AN132" s="57">
        <f t="shared" ref="AN132:AN187" si="49">(K132-$R$15)/($S$15-$R$15)</f>
        <v>0.11850477108800161</v>
      </c>
      <c r="AO132" s="53">
        <f t="shared" ref="AO132:AO187" si="50">(L132-$R$16)/($S$16-$R$16)</f>
        <v>0.24605972962433384</v>
      </c>
      <c r="AP132" s="57">
        <f t="shared" ref="AP132:AP165" si="51">(M132-$R$17)/($S$17-$R$17)</f>
        <v>4.5769976919478872E-2</v>
      </c>
      <c r="AQ132" s="54">
        <f t="shared" ref="AQ132:AQ187" si="52">IF(L132&lt;$T$16,0,1)</f>
        <v>0</v>
      </c>
      <c r="AS132" s="61">
        <f t="shared" ref="AS132:AS187" si="53">IF(L132&lt;$T$16,L132,"")</f>
        <v>30.359000000000002</v>
      </c>
      <c r="AT132" s="61" t="str">
        <f t="shared" ref="AT132:AT187" si="54">IF(L132&gt;$T$16,L132,"")</f>
        <v/>
      </c>
    </row>
    <row r="133" spans="1:46" x14ac:dyDescent="0.3">
      <c r="A133" s="55">
        <v>310</v>
      </c>
      <c r="B133" s="57">
        <v>3</v>
      </c>
      <c r="C133" s="55">
        <v>157</v>
      </c>
      <c r="D133" s="55">
        <v>4.5</v>
      </c>
      <c r="E133" s="57">
        <v>2.94</v>
      </c>
      <c r="F133" s="55">
        <v>21</v>
      </c>
      <c r="G133" s="55">
        <v>106</v>
      </c>
      <c r="H133" s="55">
        <v>21</v>
      </c>
      <c r="I133" s="55">
        <v>3.0000000000000001E-3</v>
      </c>
      <c r="J133" s="55">
        <v>83</v>
      </c>
      <c r="K133" s="57">
        <v>74.263999999999996</v>
      </c>
      <c r="L133" s="53">
        <v>9.9710000000000001</v>
      </c>
      <c r="M133" s="60">
        <f t="shared" si="37"/>
        <v>64.292999999999992</v>
      </c>
      <c r="N133" s="54">
        <f t="shared" si="38"/>
        <v>0</v>
      </c>
      <c r="P133" s="6"/>
      <c r="R133" s="6"/>
      <c r="T133" s="6"/>
      <c r="V133" s="6"/>
      <c r="X133" s="6"/>
      <c r="Z133" s="6"/>
      <c r="AB133" s="8"/>
      <c r="AD133" s="55">
        <f t="shared" si="39"/>
        <v>0.2413793103448276</v>
      </c>
      <c r="AE133" s="57">
        <f t="shared" si="40"/>
        <v>0.13580246913580249</v>
      </c>
      <c r="AF133" s="55">
        <f t="shared" si="41"/>
        <v>0.34056399132321041</v>
      </c>
      <c r="AG133" s="55">
        <f t="shared" si="42"/>
        <v>0.33333333333333331</v>
      </c>
      <c r="AH133" s="57">
        <f t="shared" si="43"/>
        <v>1</v>
      </c>
      <c r="AI133" s="55">
        <f t="shared" si="44"/>
        <v>0.206286836935167</v>
      </c>
      <c r="AJ133" s="55">
        <f t="shared" si="45"/>
        <v>0.3345388788426763</v>
      </c>
      <c r="AK133" s="55">
        <f t="shared" si="46"/>
        <v>0.2</v>
      </c>
      <c r="AL133" s="55">
        <f t="shared" si="47"/>
        <v>0.28854477253053767</v>
      </c>
      <c r="AM133" s="55">
        <f t="shared" si="48"/>
        <v>0.20749999999999999</v>
      </c>
      <c r="AN133" s="57">
        <f t="shared" si="49"/>
        <v>0.22487532270941119</v>
      </c>
      <c r="AO133" s="53">
        <f t="shared" si="50"/>
        <v>8.0422137007669314E-2</v>
      </c>
      <c r="AP133" s="57">
        <f t="shared" si="51"/>
        <v>0.24193907049143873</v>
      </c>
      <c r="AQ133" s="54">
        <f t="shared" si="52"/>
        <v>0</v>
      </c>
      <c r="AS133" s="61">
        <f t="shared" si="53"/>
        <v>9.9710000000000001</v>
      </c>
      <c r="AT133" s="61" t="str">
        <f t="shared" si="54"/>
        <v/>
      </c>
    </row>
    <row r="134" spans="1:46" x14ac:dyDescent="0.3">
      <c r="A134" s="55">
        <v>190</v>
      </c>
      <c r="B134" s="57">
        <v>5</v>
      </c>
      <c r="C134" s="55">
        <v>123</v>
      </c>
      <c r="D134" s="55">
        <v>5</v>
      </c>
      <c r="E134" s="57">
        <v>2.94</v>
      </c>
      <c r="F134" s="55">
        <v>10</v>
      </c>
      <c r="G134" s="55">
        <v>73</v>
      </c>
      <c r="H134" s="55">
        <v>11</v>
      </c>
      <c r="I134" s="55">
        <v>3.5000000000000001E-3</v>
      </c>
      <c r="J134" s="55">
        <v>51</v>
      </c>
      <c r="K134" s="57">
        <v>9.1969999999999992</v>
      </c>
      <c r="L134" s="53">
        <v>8.0079999999999991</v>
      </c>
      <c r="M134" s="60">
        <f t="shared" si="37"/>
        <v>1.1890000000000001</v>
      </c>
      <c r="N134" s="54">
        <f t="shared" si="38"/>
        <v>0</v>
      </c>
      <c r="P134" s="6"/>
      <c r="R134" s="6"/>
      <c r="T134" s="6"/>
      <c r="V134" s="6"/>
      <c r="X134" s="6"/>
      <c r="Z134" s="6"/>
      <c r="AB134" s="8"/>
      <c r="AD134" s="55">
        <f t="shared" si="39"/>
        <v>3.4482758620689655E-2</v>
      </c>
      <c r="AE134" s="57">
        <f t="shared" si="40"/>
        <v>0.2592592592592593</v>
      </c>
      <c r="AF134" s="55">
        <f t="shared" si="41"/>
        <v>0.26681127982646419</v>
      </c>
      <c r="AG134" s="55">
        <f t="shared" si="42"/>
        <v>0.37209302325581395</v>
      </c>
      <c r="AH134" s="57">
        <f t="shared" si="43"/>
        <v>1</v>
      </c>
      <c r="AI134" s="55">
        <f t="shared" si="44"/>
        <v>9.8231827111984291E-2</v>
      </c>
      <c r="AJ134" s="55">
        <f t="shared" si="45"/>
        <v>0.18535262206148284</v>
      </c>
      <c r="AK134" s="55">
        <f t="shared" si="46"/>
        <v>3.3333333333333333E-2</v>
      </c>
      <c r="AL134" s="55">
        <f t="shared" si="47"/>
        <v>0.34865826680773304</v>
      </c>
      <c r="AM134" s="55">
        <f t="shared" si="48"/>
        <v>0.1275</v>
      </c>
      <c r="AN134" s="57">
        <f t="shared" si="49"/>
        <v>0</v>
      </c>
      <c r="AO134" s="53">
        <f t="shared" si="50"/>
        <v>6.4474197322240995E-2</v>
      </c>
      <c r="AP134" s="57">
        <f t="shared" si="51"/>
        <v>0</v>
      </c>
      <c r="AQ134" s="54">
        <f t="shared" si="52"/>
        <v>0</v>
      </c>
      <c r="AS134" s="61">
        <f t="shared" si="53"/>
        <v>8.0079999999999991</v>
      </c>
      <c r="AT134" s="61" t="str">
        <f t="shared" si="54"/>
        <v/>
      </c>
    </row>
    <row r="135" spans="1:46" x14ac:dyDescent="0.3">
      <c r="A135" s="55">
        <v>420</v>
      </c>
      <c r="B135" s="57">
        <v>12</v>
      </c>
      <c r="C135" s="55">
        <v>167</v>
      </c>
      <c r="D135" s="55">
        <v>1.3</v>
      </c>
      <c r="E135" s="57">
        <v>2.94</v>
      </c>
      <c r="F135" s="55">
        <v>5</v>
      </c>
      <c r="G135" s="55">
        <v>45</v>
      </c>
      <c r="H135" s="55">
        <v>17</v>
      </c>
      <c r="I135" s="55">
        <v>1.6999999999999999E-3</v>
      </c>
      <c r="J135" s="55">
        <v>54</v>
      </c>
      <c r="K135" s="57">
        <v>155.76400000000001</v>
      </c>
      <c r="L135" s="53">
        <v>50.914000000000001</v>
      </c>
      <c r="M135" s="60">
        <f t="shared" si="37"/>
        <v>104.85000000000001</v>
      </c>
      <c r="N135" s="54">
        <f t="shared" si="38"/>
        <v>1</v>
      </c>
      <c r="P135" s="6"/>
      <c r="R135" s="6"/>
      <c r="T135" s="6"/>
      <c r="V135" s="6"/>
      <c r="X135" s="6"/>
      <c r="Z135" s="6"/>
      <c r="AB135" s="8"/>
      <c r="AD135" s="55">
        <f t="shared" si="39"/>
        <v>0.43103448275862066</v>
      </c>
      <c r="AE135" s="57">
        <f t="shared" si="40"/>
        <v>0.69135802469135799</v>
      </c>
      <c r="AF135" s="55">
        <f t="shared" si="41"/>
        <v>0.36225596529284165</v>
      </c>
      <c r="AG135" s="55">
        <f t="shared" si="42"/>
        <v>8.5271317829457363E-2</v>
      </c>
      <c r="AH135" s="57">
        <f t="shared" si="43"/>
        <v>1</v>
      </c>
      <c r="AI135" s="55">
        <f t="shared" si="44"/>
        <v>4.9115913555992145E-2</v>
      </c>
      <c r="AJ135" s="55">
        <f t="shared" si="45"/>
        <v>5.8770343580470168E-2</v>
      </c>
      <c r="AK135" s="55">
        <f t="shared" si="46"/>
        <v>0.13333333333333333</v>
      </c>
      <c r="AL135" s="55">
        <f t="shared" si="47"/>
        <v>0.13224968740982976</v>
      </c>
      <c r="AM135" s="55">
        <f t="shared" si="48"/>
        <v>0.13500000000000001</v>
      </c>
      <c r="AN135" s="57">
        <f t="shared" si="49"/>
        <v>0.50654404573055889</v>
      </c>
      <c r="AO135" s="53">
        <f t="shared" si="50"/>
        <v>0.413054075133238</v>
      </c>
      <c r="AP135" s="57">
        <f t="shared" si="51"/>
        <v>0.39743353806752402</v>
      </c>
      <c r="AQ135" s="54">
        <f t="shared" si="52"/>
        <v>1</v>
      </c>
      <c r="AS135" s="61" t="str">
        <f t="shared" si="53"/>
        <v/>
      </c>
      <c r="AT135" s="61">
        <f t="shared" si="54"/>
        <v>50.914000000000001</v>
      </c>
    </row>
    <row r="136" spans="1:46" x14ac:dyDescent="0.3">
      <c r="A136" s="55">
        <v>250</v>
      </c>
      <c r="B136" s="57">
        <v>6</v>
      </c>
      <c r="C136" s="55">
        <v>155</v>
      </c>
      <c r="D136" s="55">
        <v>2.2999999999999998</v>
      </c>
      <c r="E136" s="57">
        <v>2.94</v>
      </c>
      <c r="F136" s="55">
        <v>5</v>
      </c>
      <c r="G136" s="55">
        <v>37</v>
      </c>
      <c r="H136" s="55">
        <v>16</v>
      </c>
      <c r="I136" s="55">
        <v>2.2000000000000001E-3</v>
      </c>
      <c r="J136" s="55">
        <v>99</v>
      </c>
      <c r="K136" s="57">
        <v>21.030999999999999</v>
      </c>
      <c r="L136" s="53">
        <v>6.3049999999999997</v>
      </c>
      <c r="M136" s="60">
        <f t="shared" si="37"/>
        <v>14.725999999999999</v>
      </c>
      <c r="N136" s="54">
        <f t="shared" si="38"/>
        <v>0</v>
      </c>
      <c r="P136" s="6"/>
      <c r="R136" s="6"/>
      <c r="T136" s="6"/>
      <c r="V136" s="6"/>
      <c r="X136" s="6"/>
      <c r="Z136" s="6"/>
      <c r="AB136" s="8"/>
      <c r="AD136" s="55">
        <f t="shared" si="39"/>
        <v>0.13793103448275862</v>
      </c>
      <c r="AE136" s="57">
        <f t="shared" si="40"/>
        <v>0.32098765432098769</v>
      </c>
      <c r="AF136" s="55">
        <f t="shared" si="41"/>
        <v>0.33622559652928419</v>
      </c>
      <c r="AG136" s="55">
        <f t="shared" si="42"/>
        <v>0.16279069767441856</v>
      </c>
      <c r="AH136" s="57">
        <f t="shared" si="43"/>
        <v>1</v>
      </c>
      <c r="AI136" s="55">
        <f t="shared" si="44"/>
        <v>4.9115913555992145E-2</v>
      </c>
      <c r="AJ136" s="55">
        <f t="shared" si="45"/>
        <v>2.2603978300180832E-2</v>
      </c>
      <c r="AK136" s="55">
        <f t="shared" si="46"/>
        <v>0.11666666666666667</v>
      </c>
      <c r="AL136" s="55">
        <f t="shared" si="47"/>
        <v>0.19236318168702515</v>
      </c>
      <c r="AM136" s="55">
        <f t="shared" si="48"/>
        <v>0.2475</v>
      </c>
      <c r="AN136" s="57">
        <f t="shared" si="49"/>
        <v>4.0898989794260869E-2</v>
      </c>
      <c r="AO136" s="53">
        <f t="shared" si="50"/>
        <v>5.0638567528922394E-2</v>
      </c>
      <c r="AP136" s="57">
        <f t="shared" si="51"/>
        <v>5.1900500716953069E-2</v>
      </c>
      <c r="AQ136" s="54">
        <f t="shared" si="52"/>
        <v>0</v>
      </c>
      <c r="AS136" s="61">
        <f t="shared" si="53"/>
        <v>6.3049999999999997</v>
      </c>
      <c r="AT136" s="61" t="str">
        <f t="shared" si="54"/>
        <v/>
      </c>
    </row>
    <row r="137" spans="1:46" x14ac:dyDescent="0.3">
      <c r="A137" s="55">
        <v>300</v>
      </c>
      <c r="B137" s="57">
        <v>10</v>
      </c>
      <c r="C137" s="55">
        <v>149</v>
      </c>
      <c r="D137" s="55">
        <v>6.3</v>
      </c>
      <c r="E137" s="57">
        <v>2.94</v>
      </c>
      <c r="F137" s="55">
        <v>10</v>
      </c>
      <c r="G137" s="55">
        <v>73</v>
      </c>
      <c r="H137" s="55">
        <v>18</v>
      </c>
      <c r="I137" s="55">
        <v>2E-3</v>
      </c>
      <c r="J137" s="55">
        <v>54</v>
      </c>
      <c r="K137" s="57">
        <v>67.581000000000003</v>
      </c>
      <c r="L137" s="53">
        <v>4.6340000000000003</v>
      </c>
      <c r="M137" s="60">
        <f t="shared" si="37"/>
        <v>62.947000000000003</v>
      </c>
      <c r="N137" s="54">
        <f t="shared" si="38"/>
        <v>0</v>
      </c>
      <c r="P137" s="6"/>
      <c r="R137" s="6"/>
      <c r="T137" s="6"/>
      <c r="V137" s="6"/>
      <c r="X137" s="6"/>
      <c r="Z137" s="6"/>
      <c r="AB137" s="8"/>
      <c r="AD137" s="55">
        <f t="shared" si="39"/>
        <v>0.22413793103448276</v>
      </c>
      <c r="AE137" s="57">
        <f t="shared" si="40"/>
        <v>0.5679012345679012</v>
      </c>
      <c r="AF137" s="55">
        <f t="shared" si="41"/>
        <v>0.3232104121475054</v>
      </c>
      <c r="AG137" s="55">
        <f t="shared" si="42"/>
        <v>0.47286821705426352</v>
      </c>
      <c r="AH137" s="57">
        <f t="shared" si="43"/>
        <v>1</v>
      </c>
      <c r="AI137" s="55">
        <f t="shared" si="44"/>
        <v>9.8231827111984291E-2</v>
      </c>
      <c r="AJ137" s="55">
        <f t="shared" si="45"/>
        <v>0.18535262206148284</v>
      </c>
      <c r="AK137" s="55">
        <f t="shared" si="46"/>
        <v>0.15</v>
      </c>
      <c r="AL137" s="55">
        <f t="shared" si="47"/>
        <v>0.168317783976147</v>
      </c>
      <c r="AM137" s="55">
        <f t="shared" si="48"/>
        <v>0.13500000000000001</v>
      </c>
      <c r="AN137" s="57">
        <f t="shared" si="49"/>
        <v>0.20177848742167709</v>
      </c>
      <c r="AO137" s="53">
        <f t="shared" si="50"/>
        <v>3.7062914337709613E-2</v>
      </c>
      <c r="AP137" s="57">
        <f t="shared" si="51"/>
        <v>0.2367785420165168</v>
      </c>
      <c r="AQ137" s="54">
        <f t="shared" si="52"/>
        <v>0</v>
      </c>
      <c r="AS137" s="61">
        <f t="shared" si="53"/>
        <v>4.6340000000000003</v>
      </c>
      <c r="AT137" s="61" t="str">
        <f t="shared" si="54"/>
        <v/>
      </c>
    </row>
    <row r="138" spans="1:46" x14ac:dyDescent="0.3">
      <c r="A138" s="55">
        <v>304</v>
      </c>
      <c r="B138" s="57">
        <v>6</v>
      </c>
      <c r="C138" s="55">
        <v>165</v>
      </c>
      <c r="D138" s="55">
        <v>3.4</v>
      </c>
      <c r="E138" s="57">
        <v>2.94</v>
      </c>
      <c r="F138" s="55">
        <v>2</v>
      </c>
      <c r="G138" s="55">
        <v>57</v>
      </c>
      <c r="H138" s="55">
        <v>10</v>
      </c>
      <c r="I138" s="55">
        <v>1.2999999999999999E-3</v>
      </c>
      <c r="J138" s="55">
        <v>1</v>
      </c>
      <c r="K138" s="57">
        <v>174.541</v>
      </c>
      <c r="L138" s="53">
        <v>7.1999999999999995E-2</v>
      </c>
      <c r="M138" s="60">
        <f t="shared" si="37"/>
        <v>174.46899999999999</v>
      </c>
      <c r="N138" s="54">
        <f t="shared" si="38"/>
        <v>0</v>
      </c>
      <c r="P138" s="6"/>
      <c r="R138" s="6"/>
      <c r="T138" s="6"/>
      <c r="V138" s="6"/>
      <c r="X138" s="6"/>
      <c r="Z138" s="6"/>
      <c r="AB138" s="8"/>
      <c r="AD138" s="55">
        <f t="shared" si="39"/>
        <v>0.23103448275862068</v>
      </c>
      <c r="AE138" s="57">
        <f t="shared" si="40"/>
        <v>0.32098765432098769</v>
      </c>
      <c r="AF138" s="55">
        <f t="shared" si="41"/>
        <v>0.35791757049891543</v>
      </c>
      <c r="AG138" s="55">
        <f t="shared" si="42"/>
        <v>0.24806201550387594</v>
      </c>
      <c r="AH138" s="57">
        <f t="shared" si="43"/>
        <v>1</v>
      </c>
      <c r="AI138" s="55">
        <f t="shared" si="44"/>
        <v>1.9646365422396856E-2</v>
      </c>
      <c r="AJ138" s="55">
        <f t="shared" si="45"/>
        <v>0.11301989150090416</v>
      </c>
      <c r="AK138" s="55">
        <f t="shared" si="46"/>
        <v>1.6666666666666666E-2</v>
      </c>
      <c r="AL138" s="55">
        <f t="shared" si="47"/>
        <v>8.4158891988073484E-2</v>
      </c>
      <c r="AM138" s="55">
        <f t="shared" si="48"/>
        <v>2.5000000000000001E-3</v>
      </c>
      <c r="AN138" s="57">
        <f t="shared" si="49"/>
        <v>0.57143844587986048</v>
      </c>
      <c r="AO138" s="53">
        <f t="shared" si="50"/>
        <v>0</v>
      </c>
      <c r="AP138" s="57">
        <f t="shared" si="51"/>
        <v>0.66435094660808369</v>
      </c>
      <c r="AQ138" s="54">
        <f t="shared" si="52"/>
        <v>0</v>
      </c>
      <c r="AS138" s="61">
        <f t="shared" si="53"/>
        <v>7.1999999999999995E-2</v>
      </c>
      <c r="AT138" s="61" t="str">
        <f t="shared" si="54"/>
        <v/>
      </c>
    </row>
    <row r="139" spans="1:46" x14ac:dyDescent="0.3">
      <c r="A139" s="55">
        <v>266</v>
      </c>
      <c r="B139" s="57">
        <v>7</v>
      </c>
      <c r="C139" s="55">
        <v>165</v>
      </c>
      <c r="D139" s="55">
        <v>2.7</v>
      </c>
      <c r="E139" s="57">
        <v>2.94</v>
      </c>
      <c r="F139" s="55">
        <v>3</v>
      </c>
      <c r="G139" s="55">
        <v>32</v>
      </c>
      <c r="H139" s="55">
        <v>12</v>
      </c>
      <c r="I139" s="55">
        <v>2.1000000000000003E-3</v>
      </c>
      <c r="J139" s="55">
        <v>104</v>
      </c>
      <c r="K139" s="57">
        <v>19.061</v>
      </c>
      <c r="L139" s="53">
        <v>10.816000000000001</v>
      </c>
      <c r="M139" s="60">
        <f t="shared" si="37"/>
        <v>8.2449999999999992</v>
      </c>
      <c r="N139" s="54">
        <f t="shared" si="38"/>
        <v>0</v>
      </c>
      <c r="P139" s="6"/>
      <c r="R139" s="6"/>
      <c r="T139" s="6"/>
      <c r="V139" s="6"/>
      <c r="X139" s="6"/>
      <c r="Z139" s="6"/>
      <c r="AB139" s="8"/>
      <c r="AD139" s="55">
        <f t="shared" si="39"/>
        <v>0.16551724137931034</v>
      </c>
      <c r="AE139" s="57">
        <f t="shared" si="40"/>
        <v>0.38271604938271608</v>
      </c>
      <c r="AF139" s="55">
        <f t="shared" si="41"/>
        <v>0.35791757049891543</v>
      </c>
      <c r="AG139" s="55">
        <f t="shared" si="42"/>
        <v>0.19379844961240308</v>
      </c>
      <c r="AH139" s="57">
        <f t="shared" si="43"/>
        <v>1</v>
      </c>
      <c r="AI139" s="55">
        <f t="shared" si="44"/>
        <v>2.9469548133595286E-2</v>
      </c>
      <c r="AJ139" s="55">
        <f t="shared" si="45"/>
        <v>0</v>
      </c>
      <c r="AK139" s="55">
        <f t="shared" si="46"/>
        <v>0.05</v>
      </c>
      <c r="AL139" s="55">
        <f t="shared" si="47"/>
        <v>0.1803404828315861</v>
      </c>
      <c r="AM139" s="55">
        <f t="shared" si="48"/>
        <v>0.26</v>
      </c>
      <c r="AN139" s="57">
        <f t="shared" si="49"/>
        <v>3.4090555630436815E-2</v>
      </c>
      <c r="AO139" s="53">
        <f t="shared" si="50"/>
        <v>8.7287144157025889E-2</v>
      </c>
      <c r="AP139" s="57">
        <f t="shared" si="51"/>
        <v>2.7052517770467667E-2</v>
      </c>
      <c r="AQ139" s="54">
        <f t="shared" si="52"/>
        <v>0</v>
      </c>
      <c r="AS139" s="61">
        <f t="shared" si="53"/>
        <v>10.816000000000001</v>
      </c>
      <c r="AT139" s="61" t="str">
        <f t="shared" si="54"/>
        <v/>
      </c>
    </row>
    <row r="140" spans="1:46" x14ac:dyDescent="0.3">
      <c r="A140" s="55">
        <v>260</v>
      </c>
      <c r="B140" s="57">
        <v>7</v>
      </c>
      <c r="C140" s="55">
        <v>165</v>
      </c>
      <c r="D140" s="55">
        <v>1.4</v>
      </c>
      <c r="E140" s="57">
        <v>2.94</v>
      </c>
      <c r="F140" s="55">
        <v>6</v>
      </c>
      <c r="G140" s="55">
        <v>59</v>
      </c>
      <c r="H140" s="55">
        <v>19</v>
      </c>
      <c r="I140" s="55">
        <v>1.6999999999999999E-3</v>
      </c>
      <c r="J140" s="55">
        <v>109</v>
      </c>
      <c r="K140" s="57">
        <v>9.5180000000000007</v>
      </c>
      <c r="L140" s="53">
        <v>3.456</v>
      </c>
      <c r="M140" s="60">
        <f t="shared" si="37"/>
        <v>6.0620000000000012</v>
      </c>
      <c r="N140" s="54">
        <f t="shared" si="38"/>
        <v>0</v>
      </c>
      <c r="P140" s="6"/>
      <c r="R140" s="6"/>
      <c r="T140" s="6"/>
      <c r="V140" s="6"/>
      <c r="X140" s="6"/>
      <c r="Z140" s="6"/>
      <c r="AB140" s="8"/>
      <c r="AD140" s="55">
        <f t="shared" si="39"/>
        <v>0.15517241379310345</v>
      </c>
      <c r="AE140" s="57">
        <f t="shared" si="40"/>
        <v>0.38271604938271608</v>
      </c>
      <c r="AF140" s="55">
        <f t="shared" si="41"/>
        <v>0.35791757049891543</v>
      </c>
      <c r="AG140" s="55">
        <f t="shared" si="42"/>
        <v>9.3023255813953487E-2</v>
      </c>
      <c r="AH140" s="57">
        <f t="shared" si="43"/>
        <v>1</v>
      </c>
      <c r="AI140" s="55">
        <f t="shared" si="44"/>
        <v>5.8939096267190572E-2</v>
      </c>
      <c r="AJ140" s="55">
        <f t="shared" si="45"/>
        <v>0.12206148282097649</v>
      </c>
      <c r="AK140" s="55">
        <f t="shared" si="46"/>
        <v>0.16666666666666666</v>
      </c>
      <c r="AL140" s="55">
        <f t="shared" si="47"/>
        <v>0.13224968740982976</v>
      </c>
      <c r="AM140" s="55">
        <f t="shared" si="48"/>
        <v>0.27250000000000002</v>
      </c>
      <c r="AN140" s="57">
        <f t="shared" si="49"/>
        <v>1.1093946023286972E-3</v>
      </c>
      <c r="AO140" s="53">
        <f t="shared" si="50"/>
        <v>2.749252567268946E-2</v>
      </c>
      <c r="AP140" s="57">
        <f t="shared" si="51"/>
        <v>1.8682953386548892E-2</v>
      </c>
      <c r="AQ140" s="54">
        <f t="shared" si="52"/>
        <v>0</v>
      </c>
      <c r="AS140" s="61">
        <f t="shared" si="53"/>
        <v>3.456</v>
      </c>
      <c r="AT140" s="61" t="str">
        <f t="shared" si="54"/>
        <v/>
      </c>
    </row>
    <row r="141" spans="1:46" x14ac:dyDescent="0.3">
      <c r="A141" s="55">
        <v>300</v>
      </c>
      <c r="B141" s="57">
        <v>8</v>
      </c>
      <c r="C141" s="55">
        <v>135</v>
      </c>
      <c r="D141" s="55">
        <v>1.5</v>
      </c>
      <c r="E141" s="57">
        <v>2.94</v>
      </c>
      <c r="F141" s="55">
        <v>5</v>
      </c>
      <c r="G141" s="55">
        <v>63</v>
      </c>
      <c r="H141" s="55">
        <v>12</v>
      </c>
      <c r="I141" s="55">
        <v>1.8E-3</v>
      </c>
      <c r="J141" s="55">
        <v>52</v>
      </c>
      <c r="K141" s="57">
        <v>13.478999999999999</v>
      </c>
      <c r="L141" s="53">
        <v>7.39</v>
      </c>
      <c r="M141" s="60">
        <f t="shared" si="37"/>
        <v>6.0889999999999995</v>
      </c>
      <c r="N141" s="54">
        <f t="shared" si="38"/>
        <v>0</v>
      </c>
      <c r="P141" s="6"/>
      <c r="R141" s="6"/>
      <c r="T141" s="6"/>
      <c r="V141" s="6"/>
      <c r="X141" s="6"/>
      <c r="Z141" s="6"/>
      <c r="AB141" s="8"/>
      <c r="AD141" s="55">
        <f t="shared" si="39"/>
        <v>0.22413793103448276</v>
      </c>
      <c r="AE141" s="57">
        <f t="shared" si="40"/>
        <v>0.44444444444444448</v>
      </c>
      <c r="AF141" s="55">
        <f t="shared" si="41"/>
        <v>0.29284164859002171</v>
      </c>
      <c r="AG141" s="55">
        <f t="shared" si="42"/>
        <v>0.10077519379844961</v>
      </c>
      <c r="AH141" s="57">
        <f t="shared" si="43"/>
        <v>1</v>
      </c>
      <c r="AI141" s="55">
        <f t="shared" si="44"/>
        <v>4.9115913555992145E-2</v>
      </c>
      <c r="AJ141" s="55">
        <f t="shared" si="45"/>
        <v>0.14014466546112117</v>
      </c>
      <c r="AK141" s="55">
        <f t="shared" si="46"/>
        <v>0.05</v>
      </c>
      <c r="AL141" s="55">
        <f t="shared" si="47"/>
        <v>0.14427238626526884</v>
      </c>
      <c r="AM141" s="55">
        <f t="shared" si="48"/>
        <v>0.13</v>
      </c>
      <c r="AN141" s="57">
        <f t="shared" si="49"/>
        <v>1.4798840146951585E-2</v>
      </c>
      <c r="AO141" s="53">
        <f t="shared" si="50"/>
        <v>5.9453399194072533E-2</v>
      </c>
      <c r="AP141" s="57">
        <f t="shared" si="51"/>
        <v>1.8786470673935882E-2</v>
      </c>
      <c r="AQ141" s="54">
        <f t="shared" si="52"/>
        <v>0</v>
      </c>
      <c r="AS141" s="61">
        <f t="shared" si="53"/>
        <v>7.39</v>
      </c>
      <c r="AT141" s="61" t="str">
        <f t="shared" si="54"/>
        <v/>
      </c>
    </row>
    <row r="142" spans="1:46" x14ac:dyDescent="0.3">
      <c r="A142" s="55">
        <v>330</v>
      </c>
      <c r="B142" s="57">
        <v>7</v>
      </c>
      <c r="C142" s="55">
        <v>0</v>
      </c>
      <c r="D142" s="55">
        <v>5</v>
      </c>
      <c r="E142" s="57">
        <v>2.94</v>
      </c>
      <c r="F142" s="55">
        <v>21</v>
      </c>
      <c r="G142" s="55">
        <v>81</v>
      </c>
      <c r="H142" s="55">
        <v>22</v>
      </c>
      <c r="I142" s="55">
        <v>3.2000000000000002E-3</v>
      </c>
      <c r="J142" s="55">
        <v>0</v>
      </c>
      <c r="K142" s="57">
        <v>11.42</v>
      </c>
      <c r="L142" s="53">
        <v>4.9020000000000001</v>
      </c>
      <c r="M142" s="60">
        <f t="shared" si="37"/>
        <v>6.5179999999999998</v>
      </c>
      <c r="N142" s="54">
        <f t="shared" si="38"/>
        <v>0</v>
      </c>
      <c r="P142" s="6"/>
      <c r="R142" s="6"/>
      <c r="T142" s="6"/>
      <c r="V142" s="6"/>
      <c r="X142" s="6"/>
      <c r="Z142" s="6"/>
      <c r="AB142" s="8"/>
      <c r="AD142" s="55">
        <f t="shared" si="39"/>
        <v>0.27586206896551724</v>
      </c>
      <c r="AE142" s="57">
        <f t="shared" si="40"/>
        <v>0.38271604938271608</v>
      </c>
      <c r="AF142" s="55">
        <f t="shared" si="41"/>
        <v>0</v>
      </c>
      <c r="AG142" s="55">
        <f t="shared" si="42"/>
        <v>0.37209302325581395</v>
      </c>
      <c r="AH142" s="57">
        <f t="shared" si="43"/>
        <v>1</v>
      </c>
      <c r="AI142" s="55">
        <f t="shared" si="44"/>
        <v>0.206286836935167</v>
      </c>
      <c r="AJ142" s="55">
        <f t="shared" si="45"/>
        <v>0.22151898734177217</v>
      </c>
      <c r="AK142" s="55">
        <f t="shared" si="46"/>
        <v>0.21666666666666667</v>
      </c>
      <c r="AL142" s="55">
        <f t="shared" si="47"/>
        <v>0.31259017024141583</v>
      </c>
      <c r="AM142" s="55">
        <f t="shared" si="48"/>
        <v>0</v>
      </c>
      <c r="AN142" s="57">
        <f t="shared" si="49"/>
        <v>7.6828168254725326E-3</v>
      </c>
      <c r="AO142" s="53">
        <f t="shared" si="50"/>
        <v>3.9240218380345769E-2</v>
      </c>
      <c r="AP142" s="57">
        <f t="shared" si="51"/>
        <v>2.0431245351307005E-2</v>
      </c>
      <c r="AQ142" s="54">
        <f t="shared" si="52"/>
        <v>0</v>
      </c>
      <c r="AS142" s="61">
        <f t="shared" si="53"/>
        <v>4.9020000000000001</v>
      </c>
      <c r="AT142" s="61" t="str">
        <f t="shared" si="54"/>
        <v/>
      </c>
    </row>
    <row r="143" spans="1:46" x14ac:dyDescent="0.3">
      <c r="A143" s="55">
        <v>501</v>
      </c>
      <c r="B143" s="57">
        <v>6</v>
      </c>
      <c r="C143" s="55">
        <v>0</v>
      </c>
      <c r="D143" s="55">
        <v>4.7</v>
      </c>
      <c r="E143" s="57">
        <v>2.94</v>
      </c>
      <c r="F143" s="55">
        <v>15</v>
      </c>
      <c r="G143" s="55">
        <v>87</v>
      </c>
      <c r="H143" s="55">
        <v>13</v>
      </c>
      <c r="I143" s="55">
        <v>2E-3</v>
      </c>
      <c r="J143" s="55">
        <v>0</v>
      </c>
      <c r="K143" s="57">
        <v>39.29</v>
      </c>
      <c r="L143" s="53">
        <v>31.132999999999999</v>
      </c>
      <c r="M143" s="60">
        <f t="shared" si="37"/>
        <v>8.157</v>
      </c>
      <c r="N143" s="54">
        <f t="shared" si="38"/>
        <v>0</v>
      </c>
      <c r="P143" s="6"/>
      <c r="R143" s="6"/>
      <c r="T143" s="6"/>
      <c r="V143" s="6"/>
      <c r="X143" s="6"/>
      <c r="Z143" s="6"/>
      <c r="AB143" s="8"/>
      <c r="AD143" s="55">
        <f t="shared" si="39"/>
        <v>0.57068965517241377</v>
      </c>
      <c r="AE143" s="57">
        <f t="shared" si="40"/>
        <v>0.32098765432098769</v>
      </c>
      <c r="AF143" s="55">
        <f t="shared" si="41"/>
        <v>0</v>
      </c>
      <c r="AG143" s="55">
        <f t="shared" si="42"/>
        <v>0.34883720930232559</v>
      </c>
      <c r="AH143" s="57">
        <f t="shared" si="43"/>
        <v>1</v>
      </c>
      <c r="AI143" s="55">
        <f t="shared" si="44"/>
        <v>0.14734774066797643</v>
      </c>
      <c r="AJ143" s="55">
        <f t="shared" si="45"/>
        <v>0.24864376130198917</v>
      </c>
      <c r="AK143" s="55">
        <f t="shared" si="46"/>
        <v>6.6666666666666666E-2</v>
      </c>
      <c r="AL143" s="55">
        <f t="shared" si="47"/>
        <v>0.168317783976147</v>
      </c>
      <c r="AM143" s="55">
        <f t="shared" si="48"/>
        <v>0</v>
      </c>
      <c r="AN143" s="57">
        <f t="shared" si="49"/>
        <v>0.10400315192485149</v>
      </c>
      <c r="AO143" s="53">
        <f t="shared" si="50"/>
        <v>0.2523479136877681</v>
      </c>
      <c r="AP143" s="57">
        <f t="shared" si="51"/>
        <v>2.6715128093058212E-2</v>
      </c>
      <c r="AQ143" s="54">
        <f t="shared" si="52"/>
        <v>0</v>
      </c>
      <c r="AS143" s="61">
        <f t="shared" si="53"/>
        <v>31.132999999999999</v>
      </c>
      <c r="AT143" s="61" t="str">
        <f t="shared" si="54"/>
        <v/>
      </c>
    </row>
    <row r="144" spans="1:46" x14ac:dyDescent="0.3">
      <c r="A144" s="55">
        <v>490</v>
      </c>
      <c r="B144" s="57">
        <v>9</v>
      </c>
      <c r="C144" s="55">
        <v>0</v>
      </c>
      <c r="D144" s="55">
        <v>1.3</v>
      </c>
      <c r="E144" s="57">
        <v>2.94</v>
      </c>
      <c r="F144" s="55">
        <v>5</v>
      </c>
      <c r="G144" s="55">
        <v>46</v>
      </c>
      <c r="H144" s="55">
        <v>14</v>
      </c>
      <c r="I144" s="55">
        <v>2.2000000000000001E-3</v>
      </c>
      <c r="J144" s="55">
        <v>0</v>
      </c>
      <c r="K144" s="57">
        <v>109.94499999999999</v>
      </c>
      <c r="L144" s="53">
        <v>22.498000000000001</v>
      </c>
      <c r="M144" s="60">
        <f t="shared" si="37"/>
        <v>87.446999999999989</v>
      </c>
      <c r="N144" s="54">
        <f t="shared" si="38"/>
        <v>0</v>
      </c>
      <c r="P144" s="6"/>
      <c r="R144" s="6"/>
      <c r="T144" s="6"/>
      <c r="V144" s="6"/>
      <c r="X144" s="6"/>
      <c r="Z144" s="6"/>
      <c r="AB144" s="8"/>
      <c r="AD144" s="55">
        <f t="shared" si="39"/>
        <v>0.55172413793103448</v>
      </c>
      <c r="AE144" s="57">
        <f t="shared" si="40"/>
        <v>0.50617283950617287</v>
      </c>
      <c r="AF144" s="55">
        <f t="shared" si="41"/>
        <v>0</v>
      </c>
      <c r="AG144" s="55">
        <f t="shared" si="42"/>
        <v>8.5271317829457363E-2</v>
      </c>
      <c r="AH144" s="57">
        <f t="shared" si="43"/>
        <v>1</v>
      </c>
      <c r="AI144" s="55">
        <f t="shared" si="44"/>
        <v>4.9115913555992145E-2</v>
      </c>
      <c r="AJ144" s="55">
        <f t="shared" si="45"/>
        <v>6.3291139240506333E-2</v>
      </c>
      <c r="AK144" s="55">
        <f t="shared" si="46"/>
        <v>8.3333333333333329E-2</v>
      </c>
      <c r="AL144" s="55">
        <f t="shared" si="47"/>
        <v>0.19236318168702515</v>
      </c>
      <c r="AM144" s="55">
        <f t="shared" si="48"/>
        <v>0</v>
      </c>
      <c r="AN144" s="57">
        <f t="shared" si="49"/>
        <v>0.34819092646545496</v>
      </c>
      <c r="AO144" s="53">
        <f t="shared" si="50"/>
        <v>0.18219485246327832</v>
      </c>
      <c r="AP144" s="57">
        <f t="shared" si="51"/>
        <v>0.33071089538619614</v>
      </c>
      <c r="AQ144" s="54">
        <f t="shared" si="52"/>
        <v>0</v>
      </c>
      <c r="AS144" s="61">
        <f t="shared" si="53"/>
        <v>22.498000000000001</v>
      </c>
      <c r="AT144" s="61" t="str">
        <f t="shared" si="54"/>
        <v/>
      </c>
    </row>
    <row r="145" spans="1:46" x14ac:dyDescent="0.3">
      <c r="A145" s="55">
        <v>330</v>
      </c>
      <c r="B145" s="57">
        <v>4</v>
      </c>
      <c r="C145" s="55">
        <v>153</v>
      </c>
      <c r="D145" s="55">
        <v>3.2</v>
      </c>
      <c r="E145" s="57">
        <v>2.94</v>
      </c>
      <c r="F145" s="55">
        <v>7</v>
      </c>
      <c r="G145" s="55">
        <v>113</v>
      </c>
      <c r="H145" s="55">
        <v>12</v>
      </c>
      <c r="I145" s="55">
        <v>2E-3</v>
      </c>
      <c r="J145" s="55">
        <v>50</v>
      </c>
      <c r="K145" s="57">
        <v>53.55</v>
      </c>
      <c r="L145" s="53">
        <v>21.864000000000001</v>
      </c>
      <c r="M145" s="60">
        <f t="shared" si="37"/>
        <v>31.685999999999996</v>
      </c>
      <c r="N145" s="54">
        <f t="shared" si="38"/>
        <v>0</v>
      </c>
      <c r="P145" s="6"/>
      <c r="R145" s="6"/>
      <c r="T145" s="6"/>
      <c r="V145" s="6"/>
      <c r="X145" s="6"/>
      <c r="Z145" s="6"/>
      <c r="AB145" s="8"/>
      <c r="AD145" s="55">
        <f t="shared" si="39"/>
        <v>0.27586206896551724</v>
      </c>
      <c r="AE145" s="57">
        <f t="shared" si="40"/>
        <v>0.19753086419753088</v>
      </c>
      <c r="AF145" s="55">
        <f t="shared" si="41"/>
        <v>0.33188720173535791</v>
      </c>
      <c r="AG145" s="55">
        <f t="shared" si="42"/>
        <v>0.23255813953488372</v>
      </c>
      <c r="AH145" s="57">
        <f t="shared" si="43"/>
        <v>1</v>
      </c>
      <c r="AI145" s="55">
        <f t="shared" si="44"/>
        <v>6.8762278978389005E-2</v>
      </c>
      <c r="AJ145" s="55">
        <f t="shared" si="45"/>
        <v>0.36618444846292947</v>
      </c>
      <c r="AK145" s="55">
        <f t="shared" si="46"/>
        <v>0.05</v>
      </c>
      <c r="AL145" s="55">
        <f t="shared" si="47"/>
        <v>0.168317783976147</v>
      </c>
      <c r="AM145" s="55">
        <f t="shared" si="48"/>
        <v>0.125</v>
      </c>
      <c r="AN145" s="57">
        <f t="shared" si="49"/>
        <v>0.15328653830867436</v>
      </c>
      <c r="AO145" s="53">
        <f t="shared" si="50"/>
        <v>0.17704406603405695</v>
      </c>
      <c r="AP145" s="57">
        <f t="shared" si="51"/>
        <v>0.11692469309041277</v>
      </c>
      <c r="AQ145" s="54">
        <f t="shared" si="52"/>
        <v>0</v>
      </c>
      <c r="AS145" s="61">
        <f t="shared" si="53"/>
        <v>21.864000000000001</v>
      </c>
      <c r="AT145" s="61" t="str">
        <f t="shared" si="54"/>
        <v/>
      </c>
    </row>
    <row r="146" spans="1:46" x14ac:dyDescent="0.3">
      <c r="A146" s="55">
        <v>230</v>
      </c>
      <c r="B146" s="57">
        <v>6</v>
      </c>
      <c r="C146" s="55">
        <v>157</v>
      </c>
      <c r="D146" s="55">
        <v>4</v>
      </c>
      <c r="E146" s="57">
        <v>2.94</v>
      </c>
      <c r="F146" s="55">
        <v>10</v>
      </c>
      <c r="G146" s="55">
        <v>71</v>
      </c>
      <c r="H146" s="55">
        <v>12</v>
      </c>
      <c r="I146" s="55">
        <v>3.5000000000000001E-3</v>
      </c>
      <c r="J146" s="55">
        <v>100</v>
      </c>
      <c r="K146" s="57">
        <v>15.802</v>
      </c>
      <c r="L146" s="53">
        <v>12.843</v>
      </c>
      <c r="M146" s="60">
        <f t="shared" si="37"/>
        <v>2.9589999999999996</v>
      </c>
      <c r="N146" s="54">
        <f t="shared" si="38"/>
        <v>0</v>
      </c>
      <c r="P146" s="6"/>
      <c r="R146" s="6"/>
      <c r="T146" s="6"/>
      <c r="V146" s="6"/>
      <c r="X146" s="6"/>
      <c r="Z146" s="6"/>
      <c r="AB146" s="8"/>
      <c r="AD146" s="55">
        <f t="shared" si="39"/>
        <v>0.10344827586206896</v>
      </c>
      <c r="AE146" s="57">
        <f t="shared" si="40"/>
        <v>0.32098765432098769</v>
      </c>
      <c r="AF146" s="55">
        <f t="shared" si="41"/>
        <v>0.34056399132321041</v>
      </c>
      <c r="AG146" s="55">
        <f t="shared" si="42"/>
        <v>0.29457364341085268</v>
      </c>
      <c r="AH146" s="57">
        <f t="shared" si="43"/>
        <v>1</v>
      </c>
      <c r="AI146" s="55">
        <f t="shared" si="44"/>
        <v>9.8231827111984291E-2</v>
      </c>
      <c r="AJ146" s="55">
        <f t="shared" si="45"/>
        <v>0.1763110307414105</v>
      </c>
      <c r="AK146" s="55">
        <f t="shared" si="46"/>
        <v>0.05</v>
      </c>
      <c r="AL146" s="55">
        <f t="shared" si="47"/>
        <v>0.34865826680773304</v>
      </c>
      <c r="AM146" s="55">
        <f t="shared" si="48"/>
        <v>0.25</v>
      </c>
      <c r="AN146" s="57">
        <f t="shared" si="49"/>
        <v>2.282726276754209E-2</v>
      </c>
      <c r="AO146" s="53">
        <f t="shared" si="50"/>
        <v>0.10375503704666582</v>
      </c>
      <c r="AP146" s="57">
        <f t="shared" si="51"/>
        <v>6.7861332842584707E-3</v>
      </c>
      <c r="AQ146" s="54">
        <f t="shared" si="52"/>
        <v>0</v>
      </c>
      <c r="AS146" s="61">
        <f t="shared" si="53"/>
        <v>12.843</v>
      </c>
      <c r="AT146" s="61" t="str">
        <f t="shared" si="54"/>
        <v/>
      </c>
    </row>
    <row r="147" spans="1:46" x14ac:dyDescent="0.3">
      <c r="A147" s="55">
        <v>523</v>
      </c>
      <c r="B147" s="57">
        <v>7</v>
      </c>
      <c r="C147" s="55">
        <v>160</v>
      </c>
      <c r="D147" s="55">
        <v>1.1000000000000001</v>
      </c>
      <c r="E147" s="57">
        <v>2.94</v>
      </c>
      <c r="F147" s="55">
        <v>10</v>
      </c>
      <c r="G147" s="55">
        <v>70</v>
      </c>
      <c r="H147" s="55">
        <v>15</v>
      </c>
      <c r="I147" s="55">
        <v>2.7000000000000001E-3</v>
      </c>
      <c r="J147" s="55">
        <v>55</v>
      </c>
      <c r="K147" s="57">
        <v>137.322</v>
      </c>
      <c r="L147" s="53">
        <v>32.054000000000002</v>
      </c>
      <c r="M147" s="60">
        <f t="shared" si="37"/>
        <v>105.268</v>
      </c>
      <c r="N147" s="54">
        <f t="shared" si="38"/>
        <v>0</v>
      </c>
      <c r="P147" s="6"/>
      <c r="R147" s="6"/>
      <c r="T147" s="6"/>
      <c r="V147" s="6"/>
      <c r="X147" s="6"/>
      <c r="Z147" s="6"/>
      <c r="AB147" s="8"/>
      <c r="AD147" s="55">
        <f t="shared" si="39"/>
        <v>0.60862068965517246</v>
      </c>
      <c r="AE147" s="57">
        <f t="shared" si="40"/>
        <v>0.38271604938271608</v>
      </c>
      <c r="AF147" s="55">
        <f t="shared" si="41"/>
        <v>0.34707158351409978</v>
      </c>
      <c r="AG147" s="55">
        <f t="shared" si="42"/>
        <v>6.9767441860465129E-2</v>
      </c>
      <c r="AH147" s="57">
        <f t="shared" si="43"/>
        <v>1</v>
      </c>
      <c r="AI147" s="55">
        <f t="shared" si="44"/>
        <v>9.8231827111984291E-2</v>
      </c>
      <c r="AJ147" s="55">
        <f t="shared" si="45"/>
        <v>0.17179023508137434</v>
      </c>
      <c r="AK147" s="55">
        <f t="shared" si="46"/>
        <v>0.1</v>
      </c>
      <c r="AL147" s="55">
        <f t="shared" si="47"/>
        <v>0.25247667596422052</v>
      </c>
      <c r="AM147" s="55">
        <f t="shared" si="48"/>
        <v>0.13750000000000001</v>
      </c>
      <c r="AN147" s="57">
        <f t="shared" si="49"/>
        <v>0.44280742499490233</v>
      </c>
      <c r="AO147" s="53">
        <f t="shared" si="50"/>
        <v>0.259830365267126</v>
      </c>
      <c r="AP147" s="57">
        <f t="shared" si="51"/>
        <v>0.39903613903521895</v>
      </c>
      <c r="AQ147" s="54">
        <f t="shared" si="52"/>
        <v>0</v>
      </c>
      <c r="AS147" s="61">
        <f t="shared" si="53"/>
        <v>32.054000000000002</v>
      </c>
      <c r="AT147" s="61" t="str">
        <f t="shared" si="54"/>
        <v/>
      </c>
    </row>
    <row r="148" spans="1:46" x14ac:dyDescent="0.3">
      <c r="A148" s="55">
        <v>350</v>
      </c>
      <c r="B148" s="57">
        <v>4</v>
      </c>
      <c r="C148" s="55">
        <v>151</v>
      </c>
      <c r="D148" s="55">
        <v>3</v>
      </c>
      <c r="E148" s="57">
        <v>2.94</v>
      </c>
      <c r="F148" s="55">
        <v>5</v>
      </c>
      <c r="G148" s="55">
        <v>56</v>
      </c>
      <c r="H148" s="55">
        <v>12</v>
      </c>
      <c r="I148" s="55">
        <v>1.9E-3</v>
      </c>
      <c r="J148" s="55">
        <v>71</v>
      </c>
      <c r="K148" s="57">
        <v>65.114000000000004</v>
      </c>
      <c r="L148" s="53">
        <v>20.933</v>
      </c>
      <c r="M148" s="60">
        <f t="shared" si="37"/>
        <v>44.181000000000004</v>
      </c>
      <c r="N148" s="54">
        <f t="shared" si="38"/>
        <v>0</v>
      </c>
      <c r="P148" s="6"/>
      <c r="R148" s="6"/>
      <c r="T148" s="6"/>
      <c r="V148" s="6"/>
      <c r="X148" s="6"/>
      <c r="Z148" s="6"/>
      <c r="AB148" s="8"/>
      <c r="AD148" s="55">
        <f t="shared" si="39"/>
        <v>0.31034482758620691</v>
      </c>
      <c r="AE148" s="57">
        <f t="shared" si="40"/>
        <v>0.19753086419753088</v>
      </c>
      <c r="AF148" s="55">
        <f t="shared" si="41"/>
        <v>0.32754880694143168</v>
      </c>
      <c r="AG148" s="55">
        <f t="shared" si="42"/>
        <v>0.21705426356589144</v>
      </c>
      <c r="AH148" s="57">
        <f t="shared" si="43"/>
        <v>1</v>
      </c>
      <c r="AI148" s="55">
        <f t="shared" si="44"/>
        <v>4.9115913555992145E-2</v>
      </c>
      <c r="AJ148" s="55">
        <f t="shared" si="45"/>
        <v>0.108499095840868</v>
      </c>
      <c r="AK148" s="55">
        <f t="shared" si="46"/>
        <v>0.05</v>
      </c>
      <c r="AL148" s="55">
        <f t="shared" si="47"/>
        <v>0.15629508512070789</v>
      </c>
      <c r="AM148" s="55">
        <f t="shared" si="48"/>
        <v>0.17749999999999999</v>
      </c>
      <c r="AN148" s="57">
        <f t="shared" si="49"/>
        <v>0.19325239245611672</v>
      </c>
      <c r="AO148" s="53">
        <f t="shared" si="50"/>
        <v>0.16948037176654102</v>
      </c>
      <c r="AP148" s="57">
        <f t="shared" si="51"/>
        <v>0.1648301933089493</v>
      </c>
      <c r="AQ148" s="54">
        <f t="shared" si="52"/>
        <v>0</v>
      </c>
      <c r="AS148" s="61">
        <f t="shared" si="53"/>
        <v>20.933</v>
      </c>
      <c r="AT148" s="61" t="str">
        <f t="shared" si="54"/>
        <v/>
      </c>
    </row>
    <row r="149" spans="1:46" x14ac:dyDescent="0.3">
      <c r="A149" s="55">
        <v>180</v>
      </c>
      <c r="B149" s="57">
        <v>6</v>
      </c>
      <c r="C149" s="55">
        <v>157</v>
      </c>
      <c r="D149" s="55">
        <v>2.1</v>
      </c>
      <c r="E149" s="57">
        <v>2.94</v>
      </c>
      <c r="F149" s="55">
        <v>5</v>
      </c>
      <c r="G149" s="55">
        <v>54</v>
      </c>
      <c r="H149" s="55">
        <v>10</v>
      </c>
      <c r="I149" s="55">
        <v>2.2000000000000001E-3</v>
      </c>
      <c r="J149" s="55">
        <v>54</v>
      </c>
      <c r="K149" s="57">
        <v>33.375999999999998</v>
      </c>
      <c r="L149" s="53">
        <v>14.574</v>
      </c>
      <c r="M149" s="60">
        <f t="shared" si="37"/>
        <v>18.802</v>
      </c>
      <c r="N149" s="54">
        <f t="shared" si="38"/>
        <v>0</v>
      </c>
      <c r="P149" s="6"/>
      <c r="R149" s="6"/>
      <c r="T149" s="6"/>
      <c r="V149" s="6"/>
      <c r="X149" s="6"/>
      <c r="Z149" s="6"/>
      <c r="AB149" s="8"/>
      <c r="AD149" s="55">
        <f t="shared" si="39"/>
        <v>1.7241379310344827E-2</v>
      </c>
      <c r="AE149" s="57">
        <f t="shared" si="40"/>
        <v>0.32098765432098769</v>
      </c>
      <c r="AF149" s="55">
        <f t="shared" si="41"/>
        <v>0.34056399132321041</v>
      </c>
      <c r="AG149" s="55">
        <f t="shared" si="42"/>
        <v>0.14728682170542637</v>
      </c>
      <c r="AH149" s="57">
        <f t="shared" si="43"/>
        <v>1</v>
      </c>
      <c r="AI149" s="55">
        <f t="shared" si="44"/>
        <v>4.9115913555992145E-2</v>
      </c>
      <c r="AJ149" s="55">
        <f t="shared" si="45"/>
        <v>9.9457504520795659E-2</v>
      </c>
      <c r="AK149" s="55">
        <f t="shared" si="46"/>
        <v>1.6666666666666666E-2</v>
      </c>
      <c r="AL149" s="55">
        <f t="shared" si="47"/>
        <v>0.19236318168702515</v>
      </c>
      <c r="AM149" s="55">
        <f t="shared" si="48"/>
        <v>0.13500000000000001</v>
      </c>
      <c r="AN149" s="57">
        <f t="shared" si="49"/>
        <v>8.3564025201574577E-2</v>
      </c>
      <c r="AO149" s="53">
        <f t="shared" si="50"/>
        <v>0.117818146366827</v>
      </c>
      <c r="AP149" s="57">
        <f t="shared" si="51"/>
        <v>6.7527777138782177E-2</v>
      </c>
      <c r="AQ149" s="54">
        <f t="shared" si="52"/>
        <v>0</v>
      </c>
      <c r="AS149" s="61">
        <f t="shared" si="53"/>
        <v>14.574</v>
      </c>
      <c r="AT149" s="61" t="str">
        <f t="shared" si="54"/>
        <v/>
      </c>
    </row>
    <row r="150" spans="1:46" x14ac:dyDescent="0.3">
      <c r="A150" s="55">
        <v>326</v>
      </c>
      <c r="B150" s="57">
        <v>5</v>
      </c>
      <c r="C150" s="55">
        <v>163</v>
      </c>
      <c r="D150" s="55">
        <v>3.5</v>
      </c>
      <c r="E150" s="57">
        <v>2.94</v>
      </c>
      <c r="F150" s="55">
        <v>5</v>
      </c>
      <c r="G150" s="55">
        <v>54</v>
      </c>
      <c r="H150" s="55">
        <v>13</v>
      </c>
      <c r="I150" s="55">
        <v>1.5E-3</v>
      </c>
      <c r="J150" s="55">
        <v>62</v>
      </c>
      <c r="K150" s="57">
        <v>41.317999999999998</v>
      </c>
      <c r="L150" s="53">
        <v>3.665</v>
      </c>
      <c r="M150" s="60">
        <f t="shared" si="37"/>
        <v>37.652999999999999</v>
      </c>
      <c r="N150" s="54">
        <f t="shared" si="38"/>
        <v>0</v>
      </c>
      <c r="P150" s="6"/>
      <c r="R150" s="6"/>
      <c r="T150" s="6"/>
      <c r="V150" s="6"/>
      <c r="X150" s="6"/>
      <c r="Z150" s="6"/>
      <c r="AB150" s="8"/>
      <c r="AD150" s="55">
        <f t="shared" si="39"/>
        <v>0.26896551724137929</v>
      </c>
      <c r="AE150" s="57">
        <f t="shared" si="40"/>
        <v>0.2592592592592593</v>
      </c>
      <c r="AF150" s="55">
        <f t="shared" si="41"/>
        <v>0.35357917570498915</v>
      </c>
      <c r="AG150" s="55">
        <f t="shared" si="42"/>
        <v>0.25581395348837205</v>
      </c>
      <c r="AH150" s="57">
        <f t="shared" si="43"/>
        <v>1</v>
      </c>
      <c r="AI150" s="55">
        <f t="shared" si="44"/>
        <v>4.9115913555992145E-2</v>
      </c>
      <c r="AJ150" s="55">
        <f t="shared" si="45"/>
        <v>9.9457504520795659E-2</v>
      </c>
      <c r="AK150" s="55">
        <f t="shared" si="46"/>
        <v>6.6666666666666666E-2</v>
      </c>
      <c r="AL150" s="55">
        <f t="shared" si="47"/>
        <v>0.10820428969895164</v>
      </c>
      <c r="AM150" s="55">
        <f t="shared" si="48"/>
        <v>0.155</v>
      </c>
      <c r="AN150" s="57">
        <f t="shared" si="49"/>
        <v>0.11101203744984395</v>
      </c>
      <c r="AO150" s="53">
        <f t="shared" si="50"/>
        <v>2.9190497855193034E-2</v>
      </c>
      <c r="AP150" s="57">
        <f t="shared" si="51"/>
        <v>0.13980201360293837</v>
      </c>
      <c r="AQ150" s="54">
        <f t="shared" si="52"/>
        <v>0</v>
      </c>
      <c r="AS150" s="61">
        <f t="shared" si="53"/>
        <v>3.665</v>
      </c>
      <c r="AT150" s="61" t="str">
        <f t="shared" si="54"/>
        <v/>
      </c>
    </row>
    <row r="151" spans="1:46" x14ac:dyDescent="0.3">
      <c r="A151" s="55">
        <v>310</v>
      </c>
      <c r="B151" s="57">
        <v>16</v>
      </c>
      <c r="C151" s="55">
        <v>160</v>
      </c>
      <c r="D151" s="55">
        <v>6.1</v>
      </c>
      <c r="E151" s="57">
        <v>2.94</v>
      </c>
      <c r="F151" s="55">
        <v>5</v>
      </c>
      <c r="G151" s="55">
        <v>64</v>
      </c>
      <c r="H151" s="55">
        <v>11</v>
      </c>
      <c r="I151" s="55">
        <v>2.5000000000000001E-3</v>
      </c>
      <c r="J151" s="55">
        <v>31</v>
      </c>
      <c r="K151" s="57">
        <v>43.326000000000001</v>
      </c>
      <c r="L151" s="53">
        <v>33.582999999999998</v>
      </c>
      <c r="M151" s="60">
        <f t="shared" si="37"/>
        <v>9.7430000000000021</v>
      </c>
      <c r="N151" s="54">
        <f t="shared" si="38"/>
        <v>0</v>
      </c>
      <c r="P151" s="6"/>
      <c r="R151" s="6"/>
      <c r="T151" s="6"/>
      <c r="V151" s="6"/>
      <c r="X151" s="6"/>
      <c r="Z151" s="6"/>
      <c r="AB151" s="8"/>
      <c r="AD151" s="55">
        <f t="shared" si="39"/>
        <v>0.2413793103448276</v>
      </c>
      <c r="AE151" s="57">
        <f t="shared" si="40"/>
        <v>0.93827160493827155</v>
      </c>
      <c r="AF151" s="55">
        <f t="shared" si="41"/>
        <v>0.34707158351409978</v>
      </c>
      <c r="AG151" s="55">
        <f t="shared" si="42"/>
        <v>0.45736434108527124</v>
      </c>
      <c r="AH151" s="57">
        <f t="shared" si="43"/>
        <v>1</v>
      </c>
      <c r="AI151" s="55">
        <f t="shared" si="44"/>
        <v>4.9115913555992145E-2</v>
      </c>
      <c r="AJ151" s="55">
        <f t="shared" si="45"/>
        <v>0.14466546112115733</v>
      </c>
      <c r="AK151" s="55">
        <f t="shared" si="46"/>
        <v>3.3333333333333333E-2</v>
      </c>
      <c r="AL151" s="55">
        <f t="shared" si="47"/>
        <v>0.22843127825334233</v>
      </c>
      <c r="AM151" s="55">
        <f t="shared" si="48"/>
        <v>7.7499999999999999E-2</v>
      </c>
      <c r="AN151" s="57">
        <f t="shared" si="49"/>
        <v>0.11795180181581287</v>
      </c>
      <c r="AO151" s="53">
        <f t="shared" si="50"/>
        <v>0.27225237228649418</v>
      </c>
      <c r="AP151" s="57">
        <f t="shared" si="51"/>
        <v>3.2795810233642364E-2</v>
      </c>
      <c r="AQ151" s="54">
        <f t="shared" si="52"/>
        <v>0</v>
      </c>
      <c r="AS151" s="61">
        <f t="shared" si="53"/>
        <v>33.582999999999998</v>
      </c>
      <c r="AT151" s="61" t="str">
        <f t="shared" si="54"/>
        <v/>
      </c>
    </row>
    <row r="152" spans="1:46" x14ac:dyDescent="0.3">
      <c r="A152" s="55">
        <v>230</v>
      </c>
      <c r="B152" s="57">
        <v>4</v>
      </c>
      <c r="C152" s="55">
        <v>150</v>
      </c>
      <c r="D152" s="55">
        <v>10</v>
      </c>
      <c r="E152" s="57">
        <v>2.94</v>
      </c>
      <c r="F152" s="55">
        <v>5</v>
      </c>
      <c r="G152" s="55">
        <v>67</v>
      </c>
      <c r="H152" s="55">
        <v>16</v>
      </c>
      <c r="I152" s="55">
        <v>1.4E-3</v>
      </c>
      <c r="J152" s="55">
        <v>89</v>
      </c>
      <c r="K152" s="57">
        <v>74.39</v>
      </c>
      <c r="L152" s="53">
        <v>42.036999999999999</v>
      </c>
      <c r="M152" s="60">
        <f t="shared" si="37"/>
        <v>32.353000000000002</v>
      </c>
      <c r="N152" s="54">
        <f t="shared" si="38"/>
        <v>1</v>
      </c>
      <c r="P152" s="6"/>
      <c r="R152" s="6"/>
      <c r="T152" s="6"/>
      <c r="V152" s="6"/>
      <c r="X152" s="6"/>
      <c r="Z152" s="6"/>
      <c r="AB152" s="8"/>
      <c r="AD152" s="55">
        <f t="shared" si="39"/>
        <v>0.10344827586206896</v>
      </c>
      <c r="AE152" s="57">
        <f t="shared" si="40"/>
        <v>0.19753086419753088</v>
      </c>
      <c r="AF152" s="55">
        <f t="shared" si="41"/>
        <v>0.32537960954446854</v>
      </c>
      <c r="AG152" s="55">
        <f t="shared" si="42"/>
        <v>0.75968992248062017</v>
      </c>
      <c r="AH152" s="57">
        <f t="shared" si="43"/>
        <v>1</v>
      </c>
      <c r="AI152" s="55">
        <f t="shared" si="44"/>
        <v>4.9115913555992145E-2</v>
      </c>
      <c r="AJ152" s="55">
        <f t="shared" si="45"/>
        <v>0.15822784810126583</v>
      </c>
      <c r="AK152" s="55">
        <f t="shared" si="46"/>
        <v>0.11666666666666667</v>
      </c>
      <c r="AL152" s="55">
        <f t="shared" si="47"/>
        <v>9.6181590843512563E-2</v>
      </c>
      <c r="AM152" s="55">
        <f t="shared" si="48"/>
        <v>0.2225</v>
      </c>
      <c r="AN152" s="57">
        <f t="shared" si="49"/>
        <v>0.22531078601125984</v>
      </c>
      <c r="AO152" s="53">
        <f t="shared" si="50"/>
        <v>0.340934940855323</v>
      </c>
      <c r="AP152" s="57">
        <f t="shared" si="51"/>
        <v>0.11948195348623222</v>
      </c>
      <c r="AQ152" s="54">
        <f t="shared" si="52"/>
        <v>1</v>
      </c>
      <c r="AS152" s="61" t="str">
        <f t="shared" si="53"/>
        <v/>
      </c>
      <c r="AT152" s="61">
        <f t="shared" si="54"/>
        <v>42.036999999999999</v>
      </c>
    </row>
    <row r="153" spans="1:46" x14ac:dyDescent="0.3">
      <c r="A153" s="55">
        <v>289</v>
      </c>
      <c r="B153" s="57">
        <v>6</v>
      </c>
      <c r="C153" s="55">
        <v>148</v>
      </c>
      <c r="D153" s="55">
        <v>5</v>
      </c>
      <c r="E153" s="57">
        <v>2.94</v>
      </c>
      <c r="F153" s="55">
        <v>10</v>
      </c>
      <c r="G153" s="55">
        <v>71</v>
      </c>
      <c r="H153" s="55">
        <v>19</v>
      </c>
      <c r="I153" s="55">
        <v>2E-3</v>
      </c>
      <c r="J153" s="55">
        <v>80</v>
      </c>
      <c r="K153" s="57">
        <v>132.749</v>
      </c>
      <c r="L153" s="53">
        <v>42.877000000000002</v>
      </c>
      <c r="M153" s="60">
        <f t="shared" si="37"/>
        <v>89.871999999999986</v>
      </c>
      <c r="N153" s="54">
        <f t="shared" si="38"/>
        <v>1</v>
      </c>
      <c r="P153" s="6"/>
      <c r="R153" s="6"/>
      <c r="T153" s="6"/>
      <c r="V153" s="6"/>
      <c r="X153" s="6"/>
      <c r="Z153" s="6"/>
      <c r="AB153" s="8"/>
      <c r="AD153" s="55">
        <f t="shared" si="39"/>
        <v>0.20517241379310344</v>
      </c>
      <c r="AE153" s="57">
        <f t="shared" si="40"/>
        <v>0.32098765432098769</v>
      </c>
      <c r="AF153" s="55">
        <f t="shared" si="41"/>
        <v>0.32104121475054231</v>
      </c>
      <c r="AG153" s="55">
        <f t="shared" si="42"/>
        <v>0.37209302325581395</v>
      </c>
      <c r="AH153" s="57">
        <f t="shared" si="43"/>
        <v>1</v>
      </c>
      <c r="AI153" s="55">
        <f t="shared" si="44"/>
        <v>9.8231827111984291E-2</v>
      </c>
      <c r="AJ153" s="55">
        <f t="shared" si="45"/>
        <v>0.1763110307414105</v>
      </c>
      <c r="AK153" s="55">
        <f t="shared" si="46"/>
        <v>0.16666666666666666</v>
      </c>
      <c r="AL153" s="55">
        <f t="shared" si="47"/>
        <v>0.168317783976147</v>
      </c>
      <c r="AM153" s="55">
        <f t="shared" si="48"/>
        <v>0.2</v>
      </c>
      <c r="AN153" s="57">
        <f t="shared" si="49"/>
        <v>0.42700287198415743</v>
      </c>
      <c r="AO153" s="53">
        <f t="shared" si="50"/>
        <v>0.34775932666060055</v>
      </c>
      <c r="AP153" s="57">
        <f t="shared" si="51"/>
        <v>0.340008281382991</v>
      </c>
      <c r="AQ153" s="54">
        <f t="shared" si="52"/>
        <v>1</v>
      </c>
      <c r="AS153" s="61" t="str">
        <f t="shared" si="53"/>
        <v/>
      </c>
      <c r="AT153" s="61">
        <f t="shared" si="54"/>
        <v>42.877000000000002</v>
      </c>
    </row>
    <row r="154" spans="1:46" x14ac:dyDescent="0.3">
      <c r="A154" s="55">
        <v>346</v>
      </c>
      <c r="B154" s="57">
        <v>7</v>
      </c>
      <c r="C154" s="55">
        <v>165</v>
      </c>
      <c r="D154" s="55">
        <v>5</v>
      </c>
      <c r="E154" s="57">
        <v>2.94</v>
      </c>
      <c r="F154" s="55">
        <v>5</v>
      </c>
      <c r="G154" s="55">
        <v>37</v>
      </c>
      <c r="H154" s="55">
        <v>19</v>
      </c>
      <c r="I154" s="55">
        <v>2E-3</v>
      </c>
      <c r="J154" s="55">
        <v>110</v>
      </c>
      <c r="K154" s="57">
        <v>25.661000000000001</v>
      </c>
      <c r="L154" s="53">
        <v>4.9050000000000002</v>
      </c>
      <c r="M154" s="60">
        <f t="shared" si="37"/>
        <v>20.756</v>
      </c>
      <c r="N154" s="54">
        <f t="shared" si="38"/>
        <v>0</v>
      </c>
      <c r="P154" s="6"/>
      <c r="R154" s="6"/>
      <c r="T154" s="6"/>
      <c r="V154" s="6"/>
      <c r="X154" s="6"/>
      <c r="Z154" s="6"/>
      <c r="AB154" s="8"/>
      <c r="AD154" s="55">
        <f t="shared" si="39"/>
        <v>0.30344827586206896</v>
      </c>
      <c r="AE154" s="57">
        <f t="shared" si="40"/>
        <v>0.38271604938271608</v>
      </c>
      <c r="AF154" s="55">
        <f t="shared" si="41"/>
        <v>0.35791757049891543</v>
      </c>
      <c r="AG154" s="55">
        <f t="shared" si="42"/>
        <v>0.37209302325581395</v>
      </c>
      <c r="AH154" s="57">
        <f t="shared" si="43"/>
        <v>1</v>
      </c>
      <c r="AI154" s="55">
        <f t="shared" si="44"/>
        <v>4.9115913555992145E-2</v>
      </c>
      <c r="AJ154" s="55">
        <f t="shared" si="45"/>
        <v>2.2603978300180832E-2</v>
      </c>
      <c r="AK154" s="55">
        <f t="shared" si="46"/>
        <v>0.16666666666666666</v>
      </c>
      <c r="AL154" s="55">
        <f t="shared" si="47"/>
        <v>0.168317783976147</v>
      </c>
      <c r="AM154" s="55">
        <f t="shared" si="48"/>
        <v>0.27500000000000002</v>
      </c>
      <c r="AN154" s="57">
        <f t="shared" si="49"/>
        <v>5.6900538108223007E-2</v>
      </c>
      <c r="AO154" s="53">
        <f t="shared" si="50"/>
        <v>3.9264591186793193E-2</v>
      </c>
      <c r="AP154" s="57">
        <f t="shared" si="51"/>
        <v>7.5019361566714987E-2</v>
      </c>
      <c r="AQ154" s="54">
        <f t="shared" si="52"/>
        <v>0</v>
      </c>
      <c r="AS154" s="61">
        <f t="shared" si="53"/>
        <v>4.9050000000000002</v>
      </c>
      <c r="AT154" s="61" t="str">
        <f t="shared" si="54"/>
        <v/>
      </c>
    </row>
    <row r="155" spans="1:46" x14ac:dyDescent="0.3">
      <c r="A155" s="55">
        <v>309</v>
      </c>
      <c r="B155" s="57">
        <v>10</v>
      </c>
      <c r="C155" s="55">
        <v>126</v>
      </c>
      <c r="D155" s="55">
        <v>4</v>
      </c>
      <c r="E155" s="57">
        <v>2.94</v>
      </c>
      <c r="F155" s="55">
        <v>10</v>
      </c>
      <c r="G155" s="55">
        <v>92</v>
      </c>
      <c r="H155" s="55">
        <v>14</v>
      </c>
      <c r="I155" s="55">
        <v>1.6999999999999999E-3</v>
      </c>
      <c r="J155" s="55">
        <v>42</v>
      </c>
      <c r="K155" s="57">
        <v>67.215000000000003</v>
      </c>
      <c r="L155" s="53">
        <v>14.561</v>
      </c>
      <c r="M155" s="60">
        <f t="shared" si="37"/>
        <v>52.654000000000003</v>
      </c>
      <c r="N155" s="54">
        <f t="shared" si="38"/>
        <v>0</v>
      </c>
      <c r="P155" s="6"/>
      <c r="R155" s="6"/>
      <c r="T155" s="6"/>
      <c r="V155" s="6"/>
      <c r="X155" s="6"/>
      <c r="Z155" s="6"/>
      <c r="AB155" s="8"/>
      <c r="AD155" s="55">
        <f t="shared" si="39"/>
        <v>0.23965517241379311</v>
      </c>
      <c r="AE155" s="57">
        <f t="shared" si="40"/>
        <v>0.5679012345679012</v>
      </c>
      <c r="AF155" s="55">
        <f t="shared" si="41"/>
        <v>0.27331887201735355</v>
      </c>
      <c r="AG155" s="55">
        <f t="shared" si="42"/>
        <v>0.29457364341085268</v>
      </c>
      <c r="AH155" s="57">
        <f t="shared" si="43"/>
        <v>1</v>
      </c>
      <c r="AI155" s="55">
        <f t="shared" si="44"/>
        <v>9.8231827111984291E-2</v>
      </c>
      <c r="AJ155" s="55">
        <f t="shared" si="45"/>
        <v>0.27124773960216997</v>
      </c>
      <c r="AK155" s="55">
        <f t="shared" si="46"/>
        <v>8.3333333333333329E-2</v>
      </c>
      <c r="AL155" s="55">
        <f t="shared" si="47"/>
        <v>0.13224968740982976</v>
      </c>
      <c r="AM155" s="55">
        <f t="shared" si="48"/>
        <v>0.105</v>
      </c>
      <c r="AN155" s="57">
        <f t="shared" si="49"/>
        <v>0.20051357021154531</v>
      </c>
      <c r="AO155" s="53">
        <f t="shared" si="50"/>
        <v>0.11771253087222151</v>
      </c>
      <c r="AP155" s="57">
        <f t="shared" si="51"/>
        <v>0.19731545168043066</v>
      </c>
      <c r="AQ155" s="54">
        <f t="shared" si="52"/>
        <v>0</v>
      </c>
      <c r="AS155" s="61">
        <f t="shared" si="53"/>
        <v>14.561</v>
      </c>
      <c r="AT155" s="61" t="str">
        <f t="shared" si="54"/>
        <v/>
      </c>
    </row>
    <row r="156" spans="1:46" x14ac:dyDescent="0.3">
      <c r="A156" s="55">
        <v>330</v>
      </c>
      <c r="B156" s="57">
        <v>4</v>
      </c>
      <c r="C156" s="55">
        <v>155</v>
      </c>
      <c r="D156" s="55">
        <v>3.5</v>
      </c>
      <c r="E156" s="57">
        <v>2.94</v>
      </c>
      <c r="F156" s="55">
        <v>15</v>
      </c>
      <c r="G156" s="55">
        <v>96</v>
      </c>
      <c r="H156" s="55">
        <v>11</v>
      </c>
      <c r="I156" s="55">
        <v>5.0999999999999995E-3</v>
      </c>
      <c r="J156" s="55">
        <v>74</v>
      </c>
      <c r="K156" s="57">
        <v>22.873000000000001</v>
      </c>
      <c r="L156" s="53">
        <v>17.529</v>
      </c>
      <c r="M156" s="60">
        <f t="shared" si="37"/>
        <v>5.3440000000000012</v>
      </c>
      <c r="N156" s="54">
        <f t="shared" si="38"/>
        <v>0</v>
      </c>
      <c r="P156" s="6"/>
      <c r="R156" s="6"/>
      <c r="T156" s="6"/>
      <c r="V156" s="6"/>
      <c r="X156" s="6"/>
      <c r="Z156" s="6"/>
      <c r="AB156" s="8"/>
      <c r="AD156" s="55">
        <f t="shared" si="39"/>
        <v>0.27586206896551724</v>
      </c>
      <c r="AE156" s="57">
        <f t="shared" si="40"/>
        <v>0.19753086419753088</v>
      </c>
      <c r="AF156" s="55">
        <f t="shared" si="41"/>
        <v>0.33622559652928419</v>
      </c>
      <c r="AG156" s="55">
        <f t="shared" si="42"/>
        <v>0.25581395348837205</v>
      </c>
      <c r="AH156" s="57">
        <f t="shared" si="43"/>
        <v>1</v>
      </c>
      <c r="AI156" s="55">
        <f t="shared" si="44"/>
        <v>0.14734774066797643</v>
      </c>
      <c r="AJ156" s="55">
        <f t="shared" si="45"/>
        <v>0.28933092224231466</v>
      </c>
      <c r="AK156" s="55">
        <f t="shared" si="46"/>
        <v>3.3333333333333333E-2</v>
      </c>
      <c r="AL156" s="55">
        <f t="shared" si="47"/>
        <v>0.54102144849475808</v>
      </c>
      <c r="AM156" s="55">
        <f t="shared" si="48"/>
        <v>0.185</v>
      </c>
      <c r="AN156" s="57">
        <f t="shared" si="49"/>
        <v>4.7265048540333934E-2</v>
      </c>
      <c r="AO156" s="53">
        <f t="shared" si="50"/>
        <v>0.14182536071753543</v>
      </c>
      <c r="AP156" s="57">
        <f t="shared" si="51"/>
        <v>1.5930160336776248E-2</v>
      </c>
      <c r="AQ156" s="54">
        <f t="shared" si="52"/>
        <v>0</v>
      </c>
      <c r="AS156" s="61">
        <f t="shared" si="53"/>
        <v>17.529</v>
      </c>
      <c r="AT156" s="61" t="str">
        <f t="shared" si="54"/>
        <v/>
      </c>
    </row>
    <row r="157" spans="1:46" x14ac:dyDescent="0.3">
      <c r="A157" s="55">
        <v>360</v>
      </c>
      <c r="B157" s="57">
        <v>10</v>
      </c>
      <c r="C157" s="55">
        <v>160</v>
      </c>
      <c r="D157" s="55">
        <v>4</v>
      </c>
      <c r="E157" s="57">
        <v>2.94</v>
      </c>
      <c r="F157" s="55">
        <v>10</v>
      </c>
      <c r="G157" s="55">
        <v>77</v>
      </c>
      <c r="H157" s="55">
        <v>17</v>
      </c>
      <c r="I157" s="55">
        <v>2.2000000000000001E-3</v>
      </c>
      <c r="J157" s="55">
        <v>63</v>
      </c>
      <c r="K157" s="57">
        <v>96.254999999999995</v>
      </c>
      <c r="L157" s="53">
        <v>45.454999999999998</v>
      </c>
      <c r="M157" s="60">
        <f t="shared" si="37"/>
        <v>50.8</v>
      </c>
      <c r="N157" s="54">
        <f t="shared" si="38"/>
        <v>1</v>
      </c>
      <c r="P157" s="6"/>
      <c r="R157" s="6"/>
      <c r="T157" s="6"/>
      <c r="V157" s="6"/>
      <c r="X157" s="6"/>
      <c r="Z157" s="6"/>
      <c r="AB157" s="8"/>
      <c r="AD157" s="55">
        <f t="shared" si="39"/>
        <v>0.32758620689655171</v>
      </c>
      <c r="AE157" s="57">
        <f t="shared" si="40"/>
        <v>0.5679012345679012</v>
      </c>
      <c r="AF157" s="55">
        <f t="shared" si="41"/>
        <v>0.34707158351409978</v>
      </c>
      <c r="AG157" s="55">
        <f t="shared" si="42"/>
        <v>0.29457364341085268</v>
      </c>
      <c r="AH157" s="57">
        <f t="shared" si="43"/>
        <v>1</v>
      </c>
      <c r="AI157" s="55">
        <f t="shared" si="44"/>
        <v>9.8231827111984291E-2</v>
      </c>
      <c r="AJ157" s="55">
        <f t="shared" si="45"/>
        <v>0.2034358047016275</v>
      </c>
      <c r="AK157" s="55">
        <f t="shared" si="46"/>
        <v>0.13333333333333333</v>
      </c>
      <c r="AL157" s="55">
        <f t="shared" si="47"/>
        <v>0.19236318168702515</v>
      </c>
      <c r="AM157" s="55">
        <f t="shared" si="48"/>
        <v>0.1575</v>
      </c>
      <c r="AN157" s="57">
        <f t="shared" si="49"/>
        <v>0.30087749311380452</v>
      </c>
      <c r="AO157" s="53">
        <f t="shared" si="50"/>
        <v>0.36870369166774991</v>
      </c>
      <c r="AP157" s="57">
        <f t="shared" si="51"/>
        <v>0.19020726461319043</v>
      </c>
      <c r="AQ157" s="54">
        <f t="shared" si="52"/>
        <v>1</v>
      </c>
      <c r="AS157" s="61" t="str">
        <f t="shared" si="53"/>
        <v/>
      </c>
      <c r="AT157" s="61">
        <f t="shared" si="54"/>
        <v>45.454999999999998</v>
      </c>
    </row>
    <row r="158" spans="1:46" x14ac:dyDescent="0.3">
      <c r="A158" s="55">
        <v>300</v>
      </c>
      <c r="B158" s="57">
        <v>3</v>
      </c>
      <c r="C158" s="55">
        <v>160</v>
      </c>
      <c r="D158" s="55">
        <v>4</v>
      </c>
      <c r="E158" s="57">
        <v>2.94</v>
      </c>
      <c r="F158" s="55">
        <v>5</v>
      </c>
      <c r="G158" s="55">
        <v>45</v>
      </c>
      <c r="H158" s="55">
        <v>14</v>
      </c>
      <c r="I158" s="55">
        <v>2.1000000000000003E-3</v>
      </c>
      <c r="J158" s="55">
        <v>96</v>
      </c>
      <c r="K158" s="57">
        <v>34.765999999999998</v>
      </c>
      <c r="L158" s="53">
        <v>18.919</v>
      </c>
      <c r="M158" s="60">
        <f t="shared" si="37"/>
        <v>15.846999999999998</v>
      </c>
      <c r="N158" s="54">
        <f t="shared" si="38"/>
        <v>0</v>
      </c>
      <c r="P158" s="6"/>
      <c r="R158" s="6"/>
      <c r="T158" s="6"/>
      <c r="V158" s="6"/>
      <c r="X158" s="6"/>
      <c r="Z158" s="6"/>
      <c r="AB158" s="8"/>
      <c r="AD158" s="55">
        <f t="shared" si="39"/>
        <v>0.22413793103448276</v>
      </c>
      <c r="AE158" s="57">
        <f t="shared" si="40"/>
        <v>0.13580246913580249</v>
      </c>
      <c r="AF158" s="55">
        <f t="shared" si="41"/>
        <v>0.34707158351409978</v>
      </c>
      <c r="AG158" s="55">
        <f t="shared" si="42"/>
        <v>0.29457364341085268</v>
      </c>
      <c r="AH158" s="57">
        <f t="shared" si="43"/>
        <v>1</v>
      </c>
      <c r="AI158" s="55">
        <f t="shared" si="44"/>
        <v>4.9115913555992145E-2</v>
      </c>
      <c r="AJ158" s="55">
        <f t="shared" si="45"/>
        <v>5.8770343580470168E-2</v>
      </c>
      <c r="AK158" s="55">
        <f t="shared" si="46"/>
        <v>8.3333333333333329E-2</v>
      </c>
      <c r="AL158" s="55">
        <f t="shared" si="47"/>
        <v>0.1803404828315861</v>
      </c>
      <c r="AM158" s="55">
        <f t="shared" si="48"/>
        <v>0.24</v>
      </c>
      <c r="AN158" s="57">
        <f t="shared" si="49"/>
        <v>8.83679457537144E-2</v>
      </c>
      <c r="AO158" s="53">
        <f t="shared" si="50"/>
        <v>0.15311809437150659</v>
      </c>
      <c r="AP158" s="57">
        <f t="shared" si="51"/>
        <v>5.6198385130316761E-2</v>
      </c>
      <c r="AQ158" s="54">
        <f t="shared" si="52"/>
        <v>0</v>
      </c>
      <c r="AS158" s="61">
        <f t="shared" si="53"/>
        <v>18.919</v>
      </c>
      <c r="AT158" s="61" t="str">
        <f t="shared" si="54"/>
        <v/>
      </c>
    </row>
    <row r="159" spans="1:46" x14ac:dyDescent="0.3">
      <c r="A159" s="55">
        <v>270</v>
      </c>
      <c r="B159" s="57">
        <v>6</v>
      </c>
      <c r="C159" s="55">
        <v>148</v>
      </c>
      <c r="D159" s="55">
        <v>2.4</v>
      </c>
      <c r="E159" s="57">
        <v>2.94</v>
      </c>
      <c r="F159" s="55">
        <v>7</v>
      </c>
      <c r="G159" s="55">
        <v>40</v>
      </c>
      <c r="H159" s="55">
        <v>17</v>
      </c>
      <c r="I159" s="55">
        <v>2.5000000000000001E-3</v>
      </c>
      <c r="J159" s="55">
        <v>54</v>
      </c>
      <c r="K159" s="57">
        <v>50.927999999999997</v>
      </c>
      <c r="L159" s="53">
        <v>15.417</v>
      </c>
      <c r="M159" s="60">
        <f t="shared" si="37"/>
        <v>35.510999999999996</v>
      </c>
      <c r="N159" s="54">
        <f t="shared" si="38"/>
        <v>0</v>
      </c>
      <c r="P159" s="6"/>
      <c r="R159" s="6"/>
      <c r="T159" s="6"/>
      <c r="V159" s="6"/>
      <c r="X159" s="6"/>
      <c r="Z159" s="6"/>
      <c r="AB159" s="8"/>
      <c r="AD159" s="55">
        <f t="shared" si="39"/>
        <v>0.17241379310344829</v>
      </c>
      <c r="AE159" s="57">
        <f t="shared" si="40"/>
        <v>0.32098765432098769</v>
      </c>
      <c r="AF159" s="55">
        <f t="shared" si="41"/>
        <v>0.32104121475054231</v>
      </c>
      <c r="AG159" s="55">
        <f t="shared" si="42"/>
        <v>0.1705426356589147</v>
      </c>
      <c r="AH159" s="57">
        <f t="shared" si="43"/>
        <v>1</v>
      </c>
      <c r="AI159" s="55">
        <f t="shared" si="44"/>
        <v>6.8762278978389005E-2</v>
      </c>
      <c r="AJ159" s="55">
        <f t="shared" si="45"/>
        <v>3.6166365280289332E-2</v>
      </c>
      <c r="AK159" s="55">
        <f t="shared" si="46"/>
        <v>0.13333333333333333</v>
      </c>
      <c r="AL159" s="55">
        <f t="shared" si="47"/>
        <v>0.22843127825334233</v>
      </c>
      <c r="AM159" s="55">
        <f t="shared" si="48"/>
        <v>0.13500000000000001</v>
      </c>
      <c r="AN159" s="57">
        <f t="shared" si="49"/>
        <v>0.14422475436068111</v>
      </c>
      <c r="AO159" s="53">
        <f t="shared" si="50"/>
        <v>0.12466690497855194</v>
      </c>
      <c r="AP159" s="57">
        <f t="shared" si="51"/>
        <v>0.13158964213690352</v>
      </c>
      <c r="AQ159" s="54">
        <f t="shared" si="52"/>
        <v>0</v>
      </c>
      <c r="AS159" s="61">
        <f t="shared" si="53"/>
        <v>15.417</v>
      </c>
      <c r="AT159" s="61" t="str">
        <f t="shared" si="54"/>
        <v/>
      </c>
    </row>
    <row r="160" spans="1:46" x14ac:dyDescent="0.3">
      <c r="A160" s="55">
        <v>200</v>
      </c>
      <c r="B160" s="57">
        <v>3</v>
      </c>
      <c r="C160" s="55">
        <v>156</v>
      </c>
      <c r="D160" s="55">
        <v>4</v>
      </c>
      <c r="E160" s="57">
        <v>2.94</v>
      </c>
      <c r="F160" s="55">
        <v>7</v>
      </c>
      <c r="G160" s="55">
        <v>53</v>
      </c>
      <c r="H160" s="55">
        <v>19</v>
      </c>
      <c r="I160" s="55">
        <v>1.8E-3</v>
      </c>
      <c r="J160" s="55">
        <v>75</v>
      </c>
      <c r="K160" s="57">
        <v>75.986999999999995</v>
      </c>
      <c r="L160" s="53">
        <v>18.495000000000001</v>
      </c>
      <c r="M160" s="60">
        <f t="shared" si="37"/>
        <v>57.49199999999999</v>
      </c>
      <c r="N160" s="54">
        <f t="shared" si="38"/>
        <v>0</v>
      </c>
      <c r="P160" s="6"/>
      <c r="R160" s="6"/>
      <c r="T160" s="6"/>
      <c r="V160" s="6"/>
      <c r="X160" s="6"/>
      <c r="Z160" s="6"/>
      <c r="AB160" s="8"/>
      <c r="AD160" s="55">
        <f t="shared" si="39"/>
        <v>5.1724137931034482E-2</v>
      </c>
      <c r="AE160" s="57">
        <f t="shared" si="40"/>
        <v>0.13580246913580249</v>
      </c>
      <c r="AF160" s="55">
        <f t="shared" si="41"/>
        <v>0.33839479392624727</v>
      </c>
      <c r="AG160" s="55">
        <f t="shared" si="42"/>
        <v>0.29457364341085268</v>
      </c>
      <c r="AH160" s="57">
        <f t="shared" si="43"/>
        <v>1</v>
      </c>
      <c r="AI160" s="55">
        <f t="shared" si="44"/>
        <v>6.8762278978389005E-2</v>
      </c>
      <c r="AJ160" s="55">
        <f t="shared" si="45"/>
        <v>9.49367088607595E-2</v>
      </c>
      <c r="AK160" s="55">
        <f t="shared" si="46"/>
        <v>0.16666666666666666</v>
      </c>
      <c r="AL160" s="55">
        <f t="shared" si="47"/>
        <v>0.14427238626526884</v>
      </c>
      <c r="AM160" s="55">
        <f t="shared" si="48"/>
        <v>0.1875</v>
      </c>
      <c r="AN160" s="57">
        <f t="shared" si="49"/>
        <v>0.23083011055929384</v>
      </c>
      <c r="AO160" s="53">
        <f t="shared" si="50"/>
        <v>0.1496734043936046</v>
      </c>
      <c r="AP160" s="57">
        <f t="shared" si="51"/>
        <v>0.2158642159907371</v>
      </c>
      <c r="AQ160" s="54">
        <f t="shared" si="52"/>
        <v>0</v>
      </c>
      <c r="AS160" s="61">
        <f t="shared" si="53"/>
        <v>18.495000000000001</v>
      </c>
      <c r="AT160" s="61" t="str">
        <f t="shared" si="54"/>
        <v/>
      </c>
    </row>
    <row r="161" spans="1:46" x14ac:dyDescent="0.3">
      <c r="A161" s="55">
        <v>296</v>
      </c>
      <c r="B161" s="57">
        <v>8</v>
      </c>
      <c r="C161" s="55">
        <v>135</v>
      </c>
      <c r="D161" s="55">
        <v>4.7</v>
      </c>
      <c r="E161" s="57">
        <v>2.94</v>
      </c>
      <c r="F161" s="55">
        <v>3</v>
      </c>
      <c r="G161" s="55">
        <v>46</v>
      </c>
      <c r="H161" s="55">
        <v>16</v>
      </c>
      <c r="I161" s="55">
        <v>1E-3</v>
      </c>
      <c r="J161" s="55">
        <v>84</v>
      </c>
      <c r="K161" s="57">
        <v>20.556000000000001</v>
      </c>
      <c r="L161" s="53">
        <v>6.1470000000000002</v>
      </c>
      <c r="M161" s="60">
        <f t="shared" si="37"/>
        <v>14.409000000000001</v>
      </c>
      <c r="N161" s="54">
        <f t="shared" si="38"/>
        <v>0</v>
      </c>
      <c r="P161" s="6"/>
      <c r="R161" s="6"/>
      <c r="T161" s="6"/>
      <c r="V161" s="6"/>
      <c r="X161" s="6"/>
      <c r="Z161" s="6"/>
      <c r="AB161" s="8"/>
      <c r="AD161" s="55">
        <f t="shared" si="39"/>
        <v>0.21724137931034482</v>
      </c>
      <c r="AE161" s="57">
        <f t="shared" si="40"/>
        <v>0.44444444444444448</v>
      </c>
      <c r="AF161" s="55">
        <f t="shared" si="41"/>
        <v>0.29284164859002171</v>
      </c>
      <c r="AG161" s="55">
        <f t="shared" si="42"/>
        <v>0.34883720930232559</v>
      </c>
      <c r="AH161" s="57">
        <f t="shared" si="43"/>
        <v>1</v>
      </c>
      <c r="AI161" s="55">
        <f t="shared" si="44"/>
        <v>2.9469548133595286E-2</v>
      </c>
      <c r="AJ161" s="55">
        <f t="shared" si="45"/>
        <v>6.3291139240506333E-2</v>
      </c>
      <c r="AK161" s="55">
        <f t="shared" si="46"/>
        <v>0.11666666666666667</v>
      </c>
      <c r="AL161" s="55">
        <f t="shared" si="47"/>
        <v>4.8090795421756288E-2</v>
      </c>
      <c r="AM161" s="55">
        <f t="shared" si="48"/>
        <v>0.21</v>
      </c>
      <c r="AN161" s="57">
        <f t="shared" si="49"/>
        <v>3.925736226745051E-2</v>
      </c>
      <c r="AO161" s="53">
        <f t="shared" si="50"/>
        <v>4.9354933056024959E-2</v>
      </c>
      <c r="AP161" s="57">
        <f t="shared" si="51"/>
        <v>5.0685131083557627E-2</v>
      </c>
      <c r="AQ161" s="54">
        <f t="shared" si="52"/>
        <v>0</v>
      </c>
      <c r="AS161" s="61">
        <f t="shared" si="53"/>
        <v>6.1470000000000002</v>
      </c>
      <c r="AT161" s="61" t="str">
        <f t="shared" si="54"/>
        <v/>
      </c>
    </row>
    <row r="162" spans="1:46" x14ac:dyDescent="0.3">
      <c r="A162" s="55">
        <v>270</v>
      </c>
      <c r="B162" s="57">
        <v>4</v>
      </c>
      <c r="C162" s="55">
        <v>155</v>
      </c>
      <c r="D162" s="55">
        <v>4.5</v>
      </c>
      <c r="E162" s="57">
        <v>2.94</v>
      </c>
      <c r="F162" s="55">
        <v>7</v>
      </c>
      <c r="G162" s="55">
        <v>58</v>
      </c>
      <c r="H162" s="55">
        <v>10</v>
      </c>
      <c r="I162" s="55">
        <v>3.3E-3</v>
      </c>
      <c r="J162" s="55">
        <v>65</v>
      </c>
      <c r="K162" s="57">
        <v>17.385999999999999</v>
      </c>
      <c r="L162" s="53">
        <v>13.582000000000001</v>
      </c>
      <c r="M162" s="60">
        <f t="shared" si="37"/>
        <v>3.8039999999999985</v>
      </c>
      <c r="N162" s="54">
        <f t="shared" si="38"/>
        <v>0</v>
      </c>
      <c r="P162" s="6"/>
      <c r="R162" s="6"/>
      <c r="T162" s="6"/>
      <c r="V162" s="6"/>
      <c r="X162" s="6"/>
      <c r="Z162" s="6"/>
      <c r="AB162" s="8"/>
      <c r="AD162" s="55">
        <f t="shared" si="39"/>
        <v>0.17241379310344829</v>
      </c>
      <c r="AE162" s="57">
        <f t="shared" si="40"/>
        <v>0.19753086419753088</v>
      </c>
      <c r="AF162" s="55">
        <f t="shared" si="41"/>
        <v>0.33622559652928419</v>
      </c>
      <c r="AG162" s="55">
        <f t="shared" si="42"/>
        <v>0.33333333333333331</v>
      </c>
      <c r="AH162" s="57">
        <f t="shared" si="43"/>
        <v>1</v>
      </c>
      <c r="AI162" s="55">
        <f t="shared" si="44"/>
        <v>6.8762278978389005E-2</v>
      </c>
      <c r="AJ162" s="55">
        <f t="shared" si="45"/>
        <v>0.11754068716094034</v>
      </c>
      <c r="AK162" s="55">
        <f t="shared" si="46"/>
        <v>1.6666666666666666E-2</v>
      </c>
      <c r="AL162" s="55">
        <f t="shared" si="47"/>
        <v>0.32461286909685488</v>
      </c>
      <c r="AM162" s="55">
        <f t="shared" si="48"/>
        <v>0.16250000000000001</v>
      </c>
      <c r="AN162" s="57">
        <f t="shared" si="49"/>
        <v>2.8301658562210775E-2</v>
      </c>
      <c r="AO162" s="53">
        <f t="shared" si="50"/>
        <v>0.10975887170154688</v>
      </c>
      <c r="AP162" s="57">
        <f t="shared" si="51"/>
        <v>1.0025840982110675E-2</v>
      </c>
      <c r="AQ162" s="54">
        <f t="shared" si="52"/>
        <v>0</v>
      </c>
      <c r="AS162" s="61">
        <f t="shared" si="53"/>
        <v>13.582000000000001</v>
      </c>
      <c r="AT162" s="61" t="str">
        <f t="shared" si="54"/>
        <v/>
      </c>
    </row>
    <row r="163" spans="1:46" x14ac:dyDescent="0.3">
      <c r="A163" s="55">
        <v>310</v>
      </c>
      <c r="B163" s="57">
        <v>4</v>
      </c>
      <c r="C163" s="55">
        <v>165</v>
      </c>
      <c r="D163" s="55">
        <v>2</v>
      </c>
      <c r="E163" s="57">
        <v>2.94</v>
      </c>
      <c r="F163" s="55">
        <v>17</v>
      </c>
      <c r="G163" s="55">
        <v>86</v>
      </c>
      <c r="H163" s="55">
        <v>15</v>
      </c>
      <c r="I163" s="55">
        <v>3.3999999999999998E-3</v>
      </c>
      <c r="J163" s="55">
        <v>114</v>
      </c>
      <c r="K163" s="57">
        <v>24.940999999999999</v>
      </c>
      <c r="L163" s="53">
        <v>19.356999999999999</v>
      </c>
      <c r="M163" s="60">
        <f t="shared" si="37"/>
        <v>5.5839999999999996</v>
      </c>
      <c r="N163" s="54">
        <f t="shared" si="38"/>
        <v>0</v>
      </c>
      <c r="P163" s="6"/>
      <c r="R163" s="6"/>
      <c r="T163" s="6"/>
      <c r="V163" s="6"/>
      <c r="X163" s="6"/>
      <c r="Z163" s="6"/>
      <c r="AB163" s="8"/>
      <c r="AD163" s="55">
        <f t="shared" si="39"/>
        <v>0.2413793103448276</v>
      </c>
      <c r="AE163" s="57">
        <f t="shared" si="40"/>
        <v>0.19753086419753088</v>
      </c>
      <c r="AF163" s="55">
        <f t="shared" si="41"/>
        <v>0.35791757049891543</v>
      </c>
      <c r="AG163" s="55">
        <f t="shared" si="42"/>
        <v>0.13953488372093023</v>
      </c>
      <c r="AH163" s="57">
        <f t="shared" si="43"/>
        <v>1</v>
      </c>
      <c r="AI163" s="55">
        <f t="shared" si="44"/>
        <v>0.1669941060903733</v>
      </c>
      <c r="AJ163" s="55">
        <f t="shared" si="45"/>
        <v>0.24412296564195299</v>
      </c>
      <c r="AK163" s="55">
        <f t="shared" si="46"/>
        <v>0.1</v>
      </c>
      <c r="AL163" s="55">
        <f t="shared" si="47"/>
        <v>0.33663556795229393</v>
      </c>
      <c r="AM163" s="55">
        <f t="shared" si="48"/>
        <v>0.28499999999999998</v>
      </c>
      <c r="AN163" s="57">
        <f t="shared" si="49"/>
        <v>5.4412176383373596E-2</v>
      </c>
      <c r="AO163" s="53">
        <f t="shared" si="50"/>
        <v>0.15667652411282987</v>
      </c>
      <c r="AP163" s="57">
        <f t="shared" si="51"/>
        <v>1.6850314002438409E-2</v>
      </c>
      <c r="AQ163" s="54">
        <f t="shared" si="52"/>
        <v>0</v>
      </c>
      <c r="AS163" s="61">
        <f t="shared" si="53"/>
        <v>19.356999999999999</v>
      </c>
      <c r="AT163" s="61" t="str">
        <f t="shared" si="54"/>
        <v/>
      </c>
    </row>
    <row r="164" spans="1:46" x14ac:dyDescent="0.3">
      <c r="A164" s="55">
        <v>230</v>
      </c>
      <c r="B164" s="57">
        <v>5</v>
      </c>
      <c r="C164" s="55">
        <v>164</v>
      </c>
      <c r="D164" s="55">
        <v>2.5</v>
      </c>
      <c r="E164" s="57">
        <v>2.94</v>
      </c>
      <c r="F164" s="55">
        <v>7</v>
      </c>
      <c r="G164" s="55">
        <v>65</v>
      </c>
      <c r="H164" s="55">
        <v>14</v>
      </c>
      <c r="I164" s="55">
        <v>2E-3</v>
      </c>
      <c r="J164" s="55">
        <v>55</v>
      </c>
      <c r="K164" s="57">
        <v>87.724000000000004</v>
      </c>
      <c r="L164" s="53">
        <v>27.88</v>
      </c>
      <c r="M164" s="60">
        <f t="shared" si="37"/>
        <v>59.844000000000008</v>
      </c>
      <c r="N164" s="54">
        <f t="shared" si="38"/>
        <v>0</v>
      </c>
      <c r="P164" s="6"/>
      <c r="R164" s="6"/>
      <c r="T164" s="6"/>
      <c r="V164" s="6"/>
      <c r="X164" s="6"/>
      <c r="Z164" s="6"/>
      <c r="AB164" s="8"/>
      <c r="AD164" s="55">
        <f t="shared" si="39"/>
        <v>0.10344827586206896</v>
      </c>
      <c r="AE164" s="57">
        <f t="shared" si="40"/>
        <v>0.2592592592592593</v>
      </c>
      <c r="AF164" s="55">
        <f t="shared" si="41"/>
        <v>0.35574837310195229</v>
      </c>
      <c r="AG164" s="55">
        <f t="shared" si="42"/>
        <v>0.17829457364341084</v>
      </c>
      <c r="AH164" s="57">
        <f t="shared" si="43"/>
        <v>1</v>
      </c>
      <c r="AI164" s="55">
        <f t="shared" si="44"/>
        <v>6.8762278978389005E-2</v>
      </c>
      <c r="AJ164" s="55">
        <f t="shared" si="45"/>
        <v>0.14918625678119349</v>
      </c>
      <c r="AK164" s="55">
        <f t="shared" si="46"/>
        <v>8.3333333333333329E-2</v>
      </c>
      <c r="AL164" s="55">
        <f t="shared" si="47"/>
        <v>0.168317783976147</v>
      </c>
      <c r="AM164" s="55">
        <f t="shared" si="48"/>
        <v>0.13750000000000001</v>
      </c>
      <c r="AN164" s="57">
        <f t="shared" si="49"/>
        <v>0.27139386273229033</v>
      </c>
      <c r="AO164" s="53">
        <f t="shared" si="50"/>
        <v>0.22591966722994933</v>
      </c>
      <c r="AP164" s="57">
        <f t="shared" si="51"/>
        <v>0.2248817219142264</v>
      </c>
      <c r="AQ164" s="54">
        <f t="shared" si="52"/>
        <v>0</v>
      </c>
      <c r="AS164" s="61">
        <f t="shared" si="53"/>
        <v>27.88</v>
      </c>
      <c r="AT164" s="61" t="str">
        <f t="shared" si="54"/>
        <v/>
      </c>
    </row>
    <row r="165" spans="1:46" x14ac:dyDescent="0.3">
      <c r="A165" s="55">
        <v>300</v>
      </c>
      <c r="B165" s="57">
        <v>11</v>
      </c>
      <c r="C165" s="55">
        <v>160</v>
      </c>
      <c r="D165" s="55">
        <v>4</v>
      </c>
      <c r="E165" s="57">
        <v>2.94</v>
      </c>
      <c r="F165" s="55">
        <v>10</v>
      </c>
      <c r="G165" s="55">
        <v>73</v>
      </c>
      <c r="H165" s="55">
        <v>18</v>
      </c>
      <c r="I165" s="55">
        <v>2.2000000000000001E-3</v>
      </c>
      <c r="J165" s="55">
        <v>62</v>
      </c>
      <c r="K165" s="57">
        <v>111.973</v>
      </c>
      <c r="L165" s="53">
        <v>55.054000000000002</v>
      </c>
      <c r="M165" s="60">
        <f t="shared" si="37"/>
        <v>56.918999999999997</v>
      </c>
      <c r="N165" s="54">
        <f t="shared" si="38"/>
        <v>1</v>
      </c>
      <c r="P165" s="6"/>
      <c r="R165" s="6"/>
      <c r="T165" s="6"/>
      <c r="V165" s="6"/>
      <c r="X165" s="6"/>
      <c r="Z165" s="6"/>
      <c r="AB165" s="8"/>
      <c r="AD165" s="55">
        <f t="shared" si="39"/>
        <v>0.22413793103448276</v>
      </c>
      <c r="AE165" s="57">
        <f t="shared" si="40"/>
        <v>0.62962962962962965</v>
      </c>
      <c r="AF165" s="55">
        <f t="shared" si="41"/>
        <v>0.34707158351409978</v>
      </c>
      <c r="AG165" s="55">
        <f t="shared" si="42"/>
        <v>0.29457364341085268</v>
      </c>
      <c r="AH165" s="57">
        <f t="shared" si="43"/>
        <v>1</v>
      </c>
      <c r="AI165" s="55">
        <f t="shared" si="44"/>
        <v>9.8231827111984291E-2</v>
      </c>
      <c r="AJ165" s="55">
        <f t="shared" si="45"/>
        <v>0.18535262206148284</v>
      </c>
      <c r="AK165" s="55">
        <f t="shared" si="46"/>
        <v>0.15</v>
      </c>
      <c r="AL165" s="55">
        <f t="shared" si="47"/>
        <v>0.19236318168702515</v>
      </c>
      <c r="AM165" s="55">
        <f t="shared" si="48"/>
        <v>0.155</v>
      </c>
      <c r="AN165" s="57">
        <f t="shared" si="49"/>
        <v>0.35519981199044748</v>
      </c>
      <c r="AO165" s="53">
        <f t="shared" si="50"/>
        <v>0.44668854803067726</v>
      </c>
      <c r="AP165" s="57">
        <f t="shared" si="51"/>
        <v>0.21366734911396873</v>
      </c>
      <c r="AQ165" s="54">
        <f t="shared" si="52"/>
        <v>1</v>
      </c>
      <c r="AS165" s="61" t="str">
        <f t="shared" si="53"/>
        <v/>
      </c>
      <c r="AT165" s="61">
        <f t="shared" si="54"/>
        <v>55.054000000000002</v>
      </c>
    </row>
    <row r="166" spans="1:46" x14ac:dyDescent="0.3">
      <c r="A166" s="55">
        <v>290</v>
      </c>
      <c r="B166" s="57">
        <v>5</v>
      </c>
      <c r="C166" s="55">
        <v>150</v>
      </c>
      <c r="D166" s="55">
        <v>7</v>
      </c>
      <c r="E166" s="57">
        <v>2.94</v>
      </c>
      <c r="F166" s="55">
        <v>5</v>
      </c>
      <c r="G166" s="55">
        <v>55</v>
      </c>
      <c r="H166" s="55">
        <v>13</v>
      </c>
      <c r="I166" s="55">
        <v>1.9E-3</v>
      </c>
      <c r="J166" s="55">
        <v>49</v>
      </c>
      <c r="K166" s="57">
        <v>65.772000000000006</v>
      </c>
      <c r="L166" s="53">
        <v>7.47</v>
      </c>
      <c r="M166" s="60">
        <f t="shared" si="37"/>
        <v>58.302000000000007</v>
      </c>
      <c r="N166" s="54">
        <f t="shared" si="38"/>
        <v>0</v>
      </c>
      <c r="P166" s="6"/>
      <c r="R166" s="6"/>
      <c r="T166" s="6"/>
      <c r="V166" s="6"/>
      <c r="X166" s="6"/>
      <c r="Z166" s="6"/>
      <c r="AB166" s="8"/>
      <c r="AD166" s="55">
        <f t="shared" si="39"/>
        <v>0.20689655172413793</v>
      </c>
      <c r="AE166" s="57">
        <f t="shared" si="40"/>
        <v>0.2592592592592593</v>
      </c>
      <c r="AF166" s="55">
        <f t="shared" si="41"/>
        <v>0.32537960954446854</v>
      </c>
      <c r="AG166" s="55">
        <f t="shared" si="42"/>
        <v>0.52713178294573637</v>
      </c>
      <c r="AH166" s="57">
        <f t="shared" si="43"/>
        <v>1</v>
      </c>
      <c r="AI166" s="55">
        <f t="shared" si="44"/>
        <v>4.9115913555992145E-2</v>
      </c>
      <c r="AJ166" s="55">
        <f t="shared" si="45"/>
        <v>0.10397830018083183</v>
      </c>
      <c r="AK166" s="55">
        <f t="shared" si="46"/>
        <v>6.6666666666666666E-2</v>
      </c>
      <c r="AL166" s="55">
        <f t="shared" si="47"/>
        <v>0.15629508512070789</v>
      </c>
      <c r="AM166" s="55">
        <f t="shared" si="48"/>
        <v>0.1225</v>
      </c>
      <c r="AN166" s="57">
        <f t="shared" si="49"/>
        <v>0.19552647858799299</v>
      </c>
      <c r="AO166" s="53">
        <f t="shared" si="50"/>
        <v>6.0103340699337059E-2</v>
      </c>
      <c r="AP166" s="57">
        <f t="shared" ref="AP166:AP187" si="55">(M166-$R$17)/($S$17-$R$17)</f>
        <v>0.21896973461234698</v>
      </c>
      <c r="AQ166" s="54">
        <f t="shared" si="52"/>
        <v>0</v>
      </c>
      <c r="AS166" s="61">
        <f t="shared" si="53"/>
        <v>7.47</v>
      </c>
      <c r="AT166" s="61" t="str">
        <f t="shared" si="54"/>
        <v/>
      </c>
    </row>
    <row r="167" spans="1:46" x14ac:dyDescent="0.3">
      <c r="A167" s="55">
        <v>320</v>
      </c>
      <c r="B167" s="57">
        <v>7</v>
      </c>
      <c r="C167" s="55">
        <v>155</v>
      </c>
      <c r="D167" s="55">
        <v>2.8</v>
      </c>
      <c r="E167" s="57">
        <v>2.94</v>
      </c>
      <c r="F167" s="55">
        <v>15</v>
      </c>
      <c r="G167" s="55">
        <v>150</v>
      </c>
      <c r="H167" s="55">
        <v>9</v>
      </c>
      <c r="I167" s="55">
        <v>4.0000000000000001E-3</v>
      </c>
      <c r="J167" s="55">
        <v>76</v>
      </c>
      <c r="K167" s="57">
        <v>33.628999999999998</v>
      </c>
      <c r="L167" s="53">
        <v>18.663</v>
      </c>
      <c r="M167" s="60">
        <f t="shared" si="37"/>
        <v>14.965999999999998</v>
      </c>
      <c r="N167" s="54">
        <f t="shared" si="38"/>
        <v>0</v>
      </c>
      <c r="P167" s="6"/>
      <c r="R167" s="6"/>
      <c r="T167" s="6"/>
      <c r="V167" s="6"/>
      <c r="X167" s="6"/>
      <c r="Z167" s="6"/>
      <c r="AB167" s="8"/>
      <c r="AD167" s="55">
        <f t="shared" si="39"/>
        <v>0.25862068965517243</v>
      </c>
      <c r="AE167" s="57">
        <f t="shared" si="40"/>
        <v>0.38271604938271608</v>
      </c>
      <c r="AF167" s="55">
        <f t="shared" si="41"/>
        <v>0.33622559652928419</v>
      </c>
      <c r="AG167" s="55">
        <f t="shared" si="42"/>
        <v>0.20155038759689919</v>
      </c>
      <c r="AH167" s="57">
        <f t="shared" si="43"/>
        <v>1</v>
      </c>
      <c r="AI167" s="55">
        <f t="shared" si="44"/>
        <v>0.14734774066797643</v>
      </c>
      <c r="AJ167" s="55">
        <f t="shared" si="45"/>
        <v>0.53345388788426762</v>
      </c>
      <c r="AK167" s="55">
        <f t="shared" si="46"/>
        <v>0</v>
      </c>
      <c r="AL167" s="55">
        <f t="shared" si="47"/>
        <v>0.40877176108492841</v>
      </c>
      <c r="AM167" s="55">
        <f t="shared" si="48"/>
        <v>0.19</v>
      </c>
      <c r="AN167" s="57">
        <f t="shared" si="49"/>
        <v>8.4438407863223056E-2</v>
      </c>
      <c r="AO167" s="53">
        <f t="shared" si="50"/>
        <v>0.15103828155466009</v>
      </c>
      <c r="AP167" s="57">
        <f t="shared" si="55"/>
        <v>5.2820654382615226E-2</v>
      </c>
      <c r="AQ167" s="54">
        <f t="shared" si="52"/>
        <v>0</v>
      </c>
      <c r="AS167" s="61">
        <f t="shared" si="53"/>
        <v>18.663</v>
      </c>
      <c r="AT167" s="61" t="str">
        <f t="shared" si="54"/>
        <v/>
      </c>
    </row>
    <row r="168" spans="1:46" x14ac:dyDescent="0.3">
      <c r="A168" s="55">
        <v>490</v>
      </c>
      <c r="B168" s="57">
        <v>4</v>
      </c>
      <c r="C168" s="55">
        <v>158</v>
      </c>
      <c r="D168" s="55">
        <v>2.7</v>
      </c>
      <c r="E168" s="57">
        <v>2.94</v>
      </c>
      <c r="F168" s="55">
        <v>1</v>
      </c>
      <c r="G168" s="55">
        <v>46</v>
      </c>
      <c r="H168" s="55">
        <v>9</v>
      </c>
      <c r="I168" s="55">
        <v>5.9999999999999995E-4</v>
      </c>
      <c r="J168" s="55">
        <v>115</v>
      </c>
      <c r="K168" s="57">
        <v>25.78</v>
      </c>
      <c r="L168" s="53">
        <v>20.192</v>
      </c>
      <c r="M168" s="60">
        <f t="shared" si="37"/>
        <v>5.588000000000001</v>
      </c>
      <c r="N168" s="54">
        <f t="shared" si="38"/>
        <v>0</v>
      </c>
      <c r="P168" s="6"/>
      <c r="R168" s="6"/>
      <c r="T168" s="6"/>
      <c r="V168" s="6"/>
      <c r="X168" s="6"/>
      <c r="Z168" s="6"/>
      <c r="AB168" s="8"/>
      <c r="AD168" s="55">
        <f t="shared" si="39"/>
        <v>0.55172413793103448</v>
      </c>
      <c r="AE168" s="57">
        <f t="shared" si="40"/>
        <v>0.19753086419753088</v>
      </c>
      <c r="AF168" s="55">
        <f t="shared" si="41"/>
        <v>0.34273318872017355</v>
      </c>
      <c r="AG168" s="55">
        <f t="shared" si="42"/>
        <v>0.19379844961240308</v>
      </c>
      <c r="AH168" s="57">
        <f t="shared" si="43"/>
        <v>1</v>
      </c>
      <c r="AI168" s="55">
        <f t="shared" si="44"/>
        <v>9.823182711198428E-3</v>
      </c>
      <c r="AJ168" s="55">
        <f t="shared" si="45"/>
        <v>6.3291139240506333E-2</v>
      </c>
      <c r="AK168" s="55">
        <f t="shared" si="46"/>
        <v>0</v>
      </c>
      <c r="AL168" s="55">
        <f t="shared" si="47"/>
        <v>0</v>
      </c>
      <c r="AM168" s="55">
        <f t="shared" si="48"/>
        <v>0.28749999999999998</v>
      </c>
      <c r="AN168" s="57">
        <f t="shared" si="49"/>
        <v>5.7311809004413398E-2</v>
      </c>
      <c r="AO168" s="53">
        <f t="shared" si="50"/>
        <v>0.16346028857402836</v>
      </c>
      <c r="AP168" s="57">
        <f t="shared" si="55"/>
        <v>1.6865649896866116E-2</v>
      </c>
      <c r="AQ168" s="54">
        <f t="shared" si="52"/>
        <v>0</v>
      </c>
      <c r="AS168" s="61">
        <f t="shared" si="53"/>
        <v>20.192</v>
      </c>
      <c r="AT168" s="61" t="str">
        <f t="shared" si="54"/>
        <v/>
      </c>
    </row>
    <row r="169" spans="1:46" x14ac:dyDescent="0.3">
      <c r="A169" s="55">
        <v>513</v>
      </c>
      <c r="B169" s="57">
        <v>2</v>
      </c>
      <c r="C169" s="55">
        <v>160</v>
      </c>
      <c r="D169" s="55">
        <v>4.7</v>
      </c>
      <c r="E169" s="57">
        <v>2.94</v>
      </c>
      <c r="F169" s="55">
        <v>7</v>
      </c>
      <c r="G169" s="55">
        <v>66</v>
      </c>
      <c r="H169" s="55">
        <v>10</v>
      </c>
      <c r="I169" s="55">
        <v>3.0000000000000001E-3</v>
      </c>
      <c r="J169" s="55">
        <v>86</v>
      </c>
      <c r="K169" s="57">
        <v>108.813</v>
      </c>
      <c r="L169" s="53">
        <v>43.259</v>
      </c>
      <c r="M169" s="60">
        <f t="shared" si="37"/>
        <v>65.554000000000002</v>
      </c>
      <c r="N169" s="54">
        <f t="shared" si="38"/>
        <v>1</v>
      </c>
      <c r="P169" s="6"/>
      <c r="R169" s="6"/>
      <c r="T169" s="6"/>
      <c r="V169" s="6"/>
      <c r="X169" s="6"/>
      <c r="Z169" s="6"/>
      <c r="AB169" s="8"/>
      <c r="AD169" s="55">
        <f t="shared" si="39"/>
        <v>0.5913793103448276</v>
      </c>
      <c r="AE169" s="57">
        <f t="shared" si="40"/>
        <v>7.407407407407407E-2</v>
      </c>
      <c r="AF169" s="55">
        <f t="shared" si="41"/>
        <v>0.34707158351409978</v>
      </c>
      <c r="AG169" s="55">
        <f t="shared" si="42"/>
        <v>0.34883720930232559</v>
      </c>
      <c r="AH169" s="57">
        <f t="shared" si="43"/>
        <v>1</v>
      </c>
      <c r="AI169" s="55">
        <f t="shared" si="44"/>
        <v>6.8762278978389005E-2</v>
      </c>
      <c r="AJ169" s="55">
        <f t="shared" si="45"/>
        <v>0.15370705244122967</v>
      </c>
      <c r="AK169" s="55">
        <f t="shared" si="46"/>
        <v>1.6666666666666666E-2</v>
      </c>
      <c r="AL169" s="55">
        <f t="shared" si="47"/>
        <v>0.28854477253053767</v>
      </c>
      <c r="AM169" s="55">
        <f t="shared" si="48"/>
        <v>0.215</v>
      </c>
      <c r="AN169" s="57">
        <f t="shared" si="49"/>
        <v>0.34427866886471953</v>
      </c>
      <c r="AO169" s="53">
        <f t="shared" si="50"/>
        <v>0.35086279734823866</v>
      </c>
      <c r="AP169" s="57">
        <f t="shared" si="55"/>
        <v>0.2467737112097721</v>
      </c>
      <c r="AQ169" s="54">
        <f t="shared" si="52"/>
        <v>1</v>
      </c>
      <c r="AS169" s="61" t="str">
        <f t="shared" si="53"/>
        <v/>
      </c>
      <c r="AT169" s="61">
        <f t="shared" si="54"/>
        <v>43.259</v>
      </c>
    </row>
    <row r="170" spans="1:46" x14ac:dyDescent="0.3">
      <c r="A170" s="55">
        <v>420</v>
      </c>
      <c r="B170" s="57">
        <v>8</v>
      </c>
      <c r="C170" s="55">
        <v>157</v>
      </c>
      <c r="D170" s="55">
        <v>2</v>
      </c>
      <c r="E170" s="57">
        <v>2.94</v>
      </c>
      <c r="F170" s="55">
        <v>15</v>
      </c>
      <c r="G170" s="55">
        <v>107</v>
      </c>
      <c r="H170" s="55">
        <v>12</v>
      </c>
      <c r="I170" s="55">
        <v>3.3E-3</v>
      </c>
      <c r="J170" s="55">
        <v>84</v>
      </c>
      <c r="K170" s="57">
        <v>20.890999999999998</v>
      </c>
      <c r="L170" s="53">
        <v>17.428999999999998</v>
      </c>
      <c r="M170" s="60">
        <f t="shared" si="37"/>
        <v>3.4619999999999997</v>
      </c>
      <c r="N170" s="54">
        <f t="shared" si="38"/>
        <v>0</v>
      </c>
      <c r="P170" s="6"/>
      <c r="R170" s="6"/>
      <c r="T170" s="6"/>
      <c r="V170" s="6"/>
      <c r="X170" s="6"/>
      <c r="Z170" s="6"/>
      <c r="AB170" s="8"/>
      <c r="AD170" s="55">
        <f t="shared" si="39"/>
        <v>0.43103448275862066</v>
      </c>
      <c r="AE170" s="57">
        <f t="shared" si="40"/>
        <v>0.44444444444444448</v>
      </c>
      <c r="AF170" s="55">
        <f t="shared" si="41"/>
        <v>0.34056399132321041</v>
      </c>
      <c r="AG170" s="55">
        <f t="shared" si="42"/>
        <v>0.13953488372093023</v>
      </c>
      <c r="AH170" s="57">
        <f t="shared" si="43"/>
        <v>1</v>
      </c>
      <c r="AI170" s="55">
        <f t="shared" si="44"/>
        <v>0.14734774066797643</v>
      </c>
      <c r="AJ170" s="55">
        <f t="shared" si="45"/>
        <v>0.33905967450271252</v>
      </c>
      <c r="AK170" s="55">
        <f t="shared" si="46"/>
        <v>0.05</v>
      </c>
      <c r="AL170" s="55">
        <f t="shared" si="47"/>
        <v>0.32461286909685488</v>
      </c>
      <c r="AM170" s="55">
        <f t="shared" si="48"/>
        <v>0.21</v>
      </c>
      <c r="AN170" s="57">
        <f t="shared" si="49"/>
        <v>4.0415141681095709E-2</v>
      </c>
      <c r="AO170" s="53">
        <f t="shared" si="50"/>
        <v>0.14101293383595476</v>
      </c>
      <c r="AP170" s="57">
        <f t="shared" si="55"/>
        <v>8.7146220085420924E-3</v>
      </c>
      <c r="AQ170" s="54">
        <f t="shared" si="52"/>
        <v>0</v>
      </c>
      <c r="AS170" s="61">
        <f t="shared" si="53"/>
        <v>17.428999999999998</v>
      </c>
      <c r="AT170" s="61" t="str">
        <f t="shared" si="54"/>
        <v/>
      </c>
    </row>
    <row r="171" spans="1:46" x14ac:dyDescent="0.3">
      <c r="A171" s="55">
        <v>510</v>
      </c>
      <c r="B171" s="57">
        <v>6</v>
      </c>
      <c r="C171" s="55">
        <v>145</v>
      </c>
      <c r="D171" s="55">
        <v>2</v>
      </c>
      <c r="E171" s="57">
        <v>2.94</v>
      </c>
      <c r="F171" s="55">
        <v>10</v>
      </c>
      <c r="G171" s="55">
        <v>60</v>
      </c>
      <c r="H171" s="55">
        <v>14</v>
      </c>
      <c r="I171" s="55">
        <v>3.3999999999999998E-3</v>
      </c>
      <c r="J171" s="55">
        <v>87</v>
      </c>
      <c r="K171" s="57">
        <v>96.727999999999994</v>
      </c>
      <c r="L171" s="53">
        <v>45.222999999999999</v>
      </c>
      <c r="M171" s="60">
        <f t="shared" si="37"/>
        <v>51.504999999999995</v>
      </c>
      <c r="N171" s="54">
        <f t="shared" si="38"/>
        <v>1</v>
      </c>
      <c r="P171" s="6"/>
      <c r="R171" s="6"/>
      <c r="T171" s="6"/>
      <c r="V171" s="6"/>
      <c r="X171" s="6"/>
      <c r="Z171" s="6"/>
      <c r="AB171" s="8"/>
      <c r="AD171" s="55">
        <f t="shared" si="39"/>
        <v>0.58620689655172409</v>
      </c>
      <c r="AE171" s="57">
        <f t="shared" si="40"/>
        <v>0.32098765432098769</v>
      </c>
      <c r="AF171" s="55">
        <f t="shared" si="41"/>
        <v>0.31453362255965295</v>
      </c>
      <c r="AG171" s="55">
        <f t="shared" si="42"/>
        <v>0.13953488372093023</v>
      </c>
      <c r="AH171" s="57">
        <f t="shared" si="43"/>
        <v>1</v>
      </c>
      <c r="AI171" s="55">
        <f t="shared" si="44"/>
        <v>9.8231827111984291E-2</v>
      </c>
      <c r="AJ171" s="55">
        <f t="shared" si="45"/>
        <v>0.12658227848101267</v>
      </c>
      <c r="AK171" s="55">
        <f t="shared" si="46"/>
        <v>8.3333333333333329E-2</v>
      </c>
      <c r="AL171" s="55">
        <f t="shared" si="47"/>
        <v>0.33663556795229393</v>
      </c>
      <c r="AM171" s="55">
        <f t="shared" si="48"/>
        <v>0.2175</v>
      </c>
      <c r="AN171" s="57">
        <f t="shared" si="49"/>
        <v>0.30251220852471256</v>
      </c>
      <c r="AO171" s="53">
        <f t="shared" si="50"/>
        <v>0.36681886130248276</v>
      </c>
      <c r="AP171" s="57">
        <f t="shared" si="55"/>
        <v>0.19291021600607303</v>
      </c>
      <c r="AQ171" s="54">
        <f t="shared" si="52"/>
        <v>1</v>
      </c>
      <c r="AS171" s="61" t="str">
        <f t="shared" si="53"/>
        <v/>
      </c>
      <c r="AT171" s="61">
        <f t="shared" si="54"/>
        <v>45.222999999999999</v>
      </c>
    </row>
    <row r="172" spans="1:46" x14ac:dyDescent="0.3">
      <c r="A172" s="55">
        <v>650</v>
      </c>
      <c r="B172" s="57">
        <v>6</v>
      </c>
      <c r="C172" s="55">
        <v>152</v>
      </c>
      <c r="D172" s="55">
        <v>3.5</v>
      </c>
      <c r="E172" s="57">
        <v>2.94</v>
      </c>
      <c r="F172" s="55">
        <v>7</v>
      </c>
      <c r="G172" s="55">
        <v>69</v>
      </c>
      <c r="H172" s="55">
        <v>13</v>
      </c>
      <c r="I172" s="55">
        <v>2.2000000000000001E-3</v>
      </c>
      <c r="J172" s="55">
        <v>51</v>
      </c>
      <c r="K172" s="57">
        <v>41.613</v>
      </c>
      <c r="L172" s="53">
        <v>12.193</v>
      </c>
      <c r="M172" s="60">
        <f t="shared" si="37"/>
        <v>29.42</v>
      </c>
      <c r="N172" s="54">
        <f t="shared" si="38"/>
        <v>0</v>
      </c>
      <c r="P172" s="6"/>
      <c r="R172" s="6"/>
      <c r="T172" s="6"/>
      <c r="V172" s="6"/>
      <c r="X172" s="6"/>
      <c r="Z172" s="6"/>
      <c r="AB172" s="8"/>
      <c r="AD172" s="55">
        <f t="shared" si="39"/>
        <v>0.82758620689655171</v>
      </c>
      <c r="AE172" s="57">
        <f t="shared" si="40"/>
        <v>0.32098765432098769</v>
      </c>
      <c r="AF172" s="55">
        <f t="shared" si="41"/>
        <v>0.32971800433839482</v>
      </c>
      <c r="AG172" s="55">
        <f t="shared" si="42"/>
        <v>0.25581395348837205</v>
      </c>
      <c r="AH172" s="57">
        <f t="shared" si="43"/>
        <v>1</v>
      </c>
      <c r="AI172" s="55">
        <f t="shared" si="44"/>
        <v>6.8762278978389005E-2</v>
      </c>
      <c r="AJ172" s="55">
        <f t="shared" si="45"/>
        <v>0.16726943942133815</v>
      </c>
      <c r="AK172" s="55">
        <f t="shared" si="46"/>
        <v>6.6666666666666666E-2</v>
      </c>
      <c r="AL172" s="55">
        <f t="shared" si="47"/>
        <v>0.19236318168702515</v>
      </c>
      <c r="AM172" s="55">
        <f t="shared" si="48"/>
        <v>0.1275</v>
      </c>
      <c r="AN172" s="57">
        <f t="shared" si="49"/>
        <v>0.11203157454544198</v>
      </c>
      <c r="AO172" s="53">
        <f t="shared" si="50"/>
        <v>9.8474262316391531E-2</v>
      </c>
      <c r="AP172" s="57">
        <f t="shared" si="55"/>
        <v>0.10823690889711918</v>
      </c>
      <c r="AQ172" s="54">
        <f t="shared" si="52"/>
        <v>0</v>
      </c>
      <c r="AS172" s="61">
        <f t="shared" si="53"/>
        <v>12.193</v>
      </c>
      <c r="AT172" s="61" t="str">
        <f t="shared" si="54"/>
        <v/>
      </c>
    </row>
    <row r="173" spans="1:46" x14ac:dyDescent="0.3">
      <c r="A173" s="55">
        <v>640</v>
      </c>
      <c r="B173" s="57">
        <v>2</v>
      </c>
      <c r="C173" s="55">
        <v>165</v>
      </c>
      <c r="D173" s="55">
        <v>3.5</v>
      </c>
      <c r="E173" s="57">
        <v>2.94</v>
      </c>
      <c r="F173" s="55">
        <v>6</v>
      </c>
      <c r="G173" s="55">
        <v>45</v>
      </c>
      <c r="H173" s="55">
        <v>15</v>
      </c>
      <c r="I173" s="55">
        <v>2.5000000000000001E-3</v>
      </c>
      <c r="J173" s="55">
        <v>109</v>
      </c>
      <c r="K173" s="57">
        <v>126.303</v>
      </c>
      <c r="L173" s="53">
        <v>17.481999999999999</v>
      </c>
      <c r="M173" s="60">
        <f t="shared" si="37"/>
        <v>108.821</v>
      </c>
      <c r="N173" s="54">
        <f t="shared" si="38"/>
        <v>0</v>
      </c>
      <c r="P173" s="6"/>
      <c r="R173" s="6"/>
      <c r="T173" s="6"/>
      <c r="V173" s="6"/>
      <c r="X173" s="6"/>
      <c r="Z173" s="6"/>
      <c r="AB173" s="8"/>
      <c r="AD173" s="55">
        <f t="shared" si="39"/>
        <v>0.81034482758620685</v>
      </c>
      <c r="AE173" s="57">
        <f t="shared" si="40"/>
        <v>7.407407407407407E-2</v>
      </c>
      <c r="AF173" s="55">
        <f t="shared" si="41"/>
        <v>0.35791757049891543</v>
      </c>
      <c r="AG173" s="55">
        <f t="shared" si="42"/>
        <v>0.25581395348837205</v>
      </c>
      <c r="AH173" s="57">
        <f t="shared" si="43"/>
        <v>1</v>
      </c>
      <c r="AI173" s="55">
        <f t="shared" si="44"/>
        <v>5.8939096267190572E-2</v>
      </c>
      <c r="AJ173" s="55">
        <f t="shared" si="45"/>
        <v>5.8770343580470168E-2</v>
      </c>
      <c r="AK173" s="55">
        <f t="shared" si="46"/>
        <v>0.1</v>
      </c>
      <c r="AL173" s="55">
        <f t="shared" si="47"/>
        <v>0.22843127825334233</v>
      </c>
      <c r="AM173" s="55">
        <f t="shared" si="48"/>
        <v>0.27250000000000002</v>
      </c>
      <c r="AN173" s="57">
        <f t="shared" si="49"/>
        <v>0.40472512243085296</v>
      </c>
      <c r="AO173" s="53">
        <f t="shared" si="50"/>
        <v>0.14144352008319253</v>
      </c>
      <c r="AP173" s="57">
        <f t="shared" si="55"/>
        <v>0.41265824726062594</v>
      </c>
      <c r="AQ173" s="54">
        <f t="shared" si="52"/>
        <v>0</v>
      </c>
      <c r="AS173" s="61">
        <f t="shared" si="53"/>
        <v>17.481999999999999</v>
      </c>
      <c r="AT173" s="61" t="str">
        <f t="shared" si="54"/>
        <v/>
      </c>
    </row>
    <row r="174" spans="1:46" x14ac:dyDescent="0.3">
      <c r="A174" s="55">
        <v>507</v>
      </c>
      <c r="B174" s="57">
        <v>8</v>
      </c>
      <c r="C174" s="55">
        <v>160</v>
      </c>
      <c r="D174" s="55">
        <v>4.4000000000000004</v>
      </c>
      <c r="E174" s="57">
        <v>2.94</v>
      </c>
      <c r="F174" s="55">
        <v>7</v>
      </c>
      <c r="G174" s="55">
        <v>66</v>
      </c>
      <c r="H174" s="55">
        <v>12</v>
      </c>
      <c r="I174" s="55">
        <v>2.7000000000000001E-3</v>
      </c>
      <c r="J174" s="55">
        <v>88</v>
      </c>
      <c r="K174" s="57">
        <v>51.203000000000003</v>
      </c>
      <c r="L174" s="53">
        <v>14.819000000000001</v>
      </c>
      <c r="M174" s="60">
        <f t="shared" si="37"/>
        <v>36.384</v>
      </c>
      <c r="N174" s="54">
        <f t="shared" si="38"/>
        <v>0</v>
      </c>
      <c r="P174" s="6"/>
      <c r="R174" s="6"/>
      <c r="T174" s="6"/>
      <c r="V174" s="6"/>
      <c r="X174" s="6"/>
      <c r="Z174" s="6"/>
      <c r="AB174" s="8"/>
      <c r="AD174" s="55">
        <f t="shared" si="39"/>
        <v>0.58103448275862069</v>
      </c>
      <c r="AE174" s="57">
        <f t="shared" si="40"/>
        <v>0.44444444444444448</v>
      </c>
      <c r="AF174" s="55">
        <f t="shared" si="41"/>
        <v>0.34707158351409978</v>
      </c>
      <c r="AG174" s="55">
        <f t="shared" si="42"/>
        <v>0.32558139534883723</v>
      </c>
      <c r="AH174" s="57">
        <f t="shared" si="43"/>
        <v>1</v>
      </c>
      <c r="AI174" s="55">
        <f t="shared" si="44"/>
        <v>6.8762278978389005E-2</v>
      </c>
      <c r="AJ174" s="55">
        <f t="shared" si="45"/>
        <v>0.15370705244122967</v>
      </c>
      <c r="AK174" s="55">
        <f t="shared" si="46"/>
        <v>0.05</v>
      </c>
      <c r="AL174" s="55">
        <f t="shared" si="47"/>
        <v>0.25247667596422052</v>
      </c>
      <c r="AM174" s="55">
        <f t="shared" si="48"/>
        <v>0.22</v>
      </c>
      <c r="AN174" s="57">
        <f t="shared" si="49"/>
        <v>0.14517517029725555</v>
      </c>
      <c r="AO174" s="53">
        <f t="shared" si="50"/>
        <v>0.11980859222669962</v>
      </c>
      <c r="AP174" s="57">
        <f t="shared" si="55"/>
        <v>0.13493670109574968</v>
      </c>
      <c r="AQ174" s="54">
        <f t="shared" si="52"/>
        <v>0</v>
      </c>
      <c r="AS174" s="61">
        <f t="shared" si="53"/>
        <v>14.819000000000001</v>
      </c>
      <c r="AT174" s="61" t="str">
        <f t="shared" si="54"/>
        <v/>
      </c>
    </row>
    <row r="175" spans="1:46" x14ac:dyDescent="0.3">
      <c r="A175" s="55">
        <v>480</v>
      </c>
      <c r="B175" s="57">
        <v>3</v>
      </c>
      <c r="C175" s="55">
        <v>150</v>
      </c>
      <c r="D175" s="55">
        <v>3</v>
      </c>
      <c r="E175" s="57">
        <v>2.94</v>
      </c>
      <c r="F175" s="55">
        <v>5</v>
      </c>
      <c r="G175" s="55">
        <v>44</v>
      </c>
      <c r="H175" s="55">
        <v>17</v>
      </c>
      <c r="I175" s="55">
        <v>2.3999999999999998E-3</v>
      </c>
      <c r="J175" s="55">
        <v>109</v>
      </c>
      <c r="K175" s="57">
        <v>103.563</v>
      </c>
      <c r="L175" s="53">
        <v>22.317</v>
      </c>
      <c r="M175" s="60">
        <f t="shared" si="37"/>
        <v>81.246000000000009</v>
      </c>
      <c r="N175" s="54">
        <f t="shared" si="38"/>
        <v>0</v>
      </c>
      <c r="P175" s="6"/>
      <c r="R175" s="6"/>
      <c r="T175" s="6"/>
      <c r="V175" s="6"/>
      <c r="X175" s="6"/>
      <c r="Z175" s="6"/>
      <c r="AB175" s="8"/>
      <c r="AD175" s="55">
        <f t="shared" si="39"/>
        <v>0.53448275862068961</v>
      </c>
      <c r="AE175" s="57">
        <f t="shared" si="40"/>
        <v>0.13580246913580249</v>
      </c>
      <c r="AF175" s="55">
        <f t="shared" si="41"/>
        <v>0.32537960954446854</v>
      </c>
      <c r="AG175" s="55">
        <f t="shared" si="42"/>
        <v>0.21705426356589144</v>
      </c>
      <c r="AH175" s="57">
        <f t="shared" si="43"/>
        <v>1</v>
      </c>
      <c r="AI175" s="55">
        <f t="shared" si="44"/>
        <v>4.9115913555992145E-2</v>
      </c>
      <c r="AJ175" s="55">
        <f t="shared" si="45"/>
        <v>5.4249547920434002E-2</v>
      </c>
      <c r="AK175" s="55">
        <f t="shared" si="46"/>
        <v>0.13333333333333333</v>
      </c>
      <c r="AL175" s="55">
        <f t="shared" si="47"/>
        <v>0.21640857939790326</v>
      </c>
      <c r="AM175" s="55">
        <f t="shared" si="48"/>
        <v>0.27250000000000002</v>
      </c>
      <c r="AN175" s="57">
        <f t="shared" si="49"/>
        <v>0.32613436462102596</v>
      </c>
      <c r="AO175" s="53">
        <f t="shared" si="50"/>
        <v>0.18072435980761734</v>
      </c>
      <c r="AP175" s="57">
        <f t="shared" si="55"/>
        <v>0.30693642504965007</v>
      </c>
      <c r="AQ175" s="54">
        <f t="shared" si="52"/>
        <v>0</v>
      </c>
      <c r="AS175" s="61">
        <f t="shared" si="53"/>
        <v>22.317</v>
      </c>
      <c r="AT175" s="61" t="str">
        <f t="shared" si="54"/>
        <v/>
      </c>
    </row>
    <row r="176" spans="1:46" x14ac:dyDescent="0.3">
      <c r="A176" s="55">
        <v>509</v>
      </c>
      <c r="B176" s="57">
        <v>10</v>
      </c>
      <c r="C176" s="55">
        <v>169</v>
      </c>
      <c r="D176" s="55">
        <v>0.9</v>
      </c>
      <c r="E176" s="57">
        <v>2.94</v>
      </c>
      <c r="F176" s="55">
        <v>10</v>
      </c>
      <c r="G176" s="55">
        <v>79</v>
      </c>
      <c r="H176" s="55">
        <v>15</v>
      </c>
      <c r="I176" s="55">
        <v>2.5000000000000001E-3</v>
      </c>
      <c r="J176" s="55">
        <v>73</v>
      </c>
      <c r="K176" s="57">
        <v>144.28100000000001</v>
      </c>
      <c r="L176" s="53">
        <v>35.052999999999997</v>
      </c>
      <c r="M176" s="60">
        <f t="shared" si="37"/>
        <v>109.22800000000001</v>
      </c>
      <c r="N176" s="54">
        <f t="shared" si="38"/>
        <v>0</v>
      </c>
      <c r="P176" s="6"/>
      <c r="R176" s="6"/>
      <c r="T176" s="6"/>
      <c r="V176" s="6"/>
      <c r="X176" s="6"/>
      <c r="Z176" s="6"/>
      <c r="AB176" s="8"/>
      <c r="AD176" s="55">
        <f t="shared" si="39"/>
        <v>0.58448275862068966</v>
      </c>
      <c r="AE176" s="57">
        <f t="shared" si="40"/>
        <v>0.5679012345679012</v>
      </c>
      <c r="AF176" s="55">
        <f t="shared" si="41"/>
        <v>0.36659436008676788</v>
      </c>
      <c r="AG176" s="55">
        <f t="shared" si="42"/>
        <v>5.4263565891472861E-2</v>
      </c>
      <c r="AH176" s="57">
        <f t="shared" si="43"/>
        <v>1</v>
      </c>
      <c r="AI176" s="55">
        <f t="shared" si="44"/>
        <v>9.8231827111984291E-2</v>
      </c>
      <c r="AJ176" s="55">
        <f t="shared" si="45"/>
        <v>0.21247739602169982</v>
      </c>
      <c r="AK176" s="55">
        <f t="shared" si="46"/>
        <v>0.1</v>
      </c>
      <c r="AL176" s="55">
        <f t="shared" si="47"/>
        <v>0.22843127825334233</v>
      </c>
      <c r="AM176" s="55">
        <f t="shared" si="48"/>
        <v>0.1825</v>
      </c>
      <c r="AN176" s="57">
        <f t="shared" si="49"/>
        <v>0.46685813227716205</v>
      </c>
      <c r="AO176" s="53">
        <f t="shared" si="50"/>
        <v>0.28419504744572988</v>
      </c>
      <c r="AP176" s="57">
        <f t="shared" si="55"/>
        <v>0.41421867451864475</v>
      </c>
      <c r="AQ176" s="54">
        <f t="shared" si="52"/>
        <v>0</v>
      </c>
      <c r="AS176" s="61">
        <f t="shared" si="53"/>
        <v>35.052999999999997</v>
      </c>
      <c r="AT176" s="61" t="str">
        <f t="shared" si="54"/>
        <v/>
      </c>
    </row>
    <row r="177" spans="1:46" x14ac:dyDescent="0.3">
      <c r="A177" s="55">
        <v>478</v>
      </c>
      <c r="B177" s="57">
        <v>16</v>
      </c>
      <c r="C177" s="55">
        <v>169</v>
      </c>
      <c r="D177" s="55">
        <v>1.3</v>
      </c>
      <c r="E177" s="57">
        <v>2.94</v>
      </c>
      <c r="F177" s="55">
        <v>15</v>
      </c>
      <c r="G177" s="55">
        <v>110</v>
      </c>
      <c r="H177" s="55">
        <v>16</v>
      </c>
      <c r="I177" s="55">
        <v>2.5000000000000001E-3</v>
      </c>
      <c r="J177" s="55">
        <v>49</v>
      </c>
      <c r="K177" s="57">
        <v>240.89099999999999</v>
      </c>
      <c r="L177" s="53">
        <v>59.067</v>
      </c>
      <c r="M177" s="60">
        <f t="shared" si="37"/>
        <v>181.82399999999998</v>
      </c>
      <c r="N177" s="54">
        <f t="shared" si="38"/>
        <v>1</v>
      </c>
      <c r="P177" s="6"/>
      <c r="R177" s="6"/>
      <c r="T177" s="6"/>
      <c r="V177" s="6"/>
      <c r="X177" s="6"/>
      <c r="Z177" s="6"/>
      <c r="AB177" s="8"/>
      <c r="AD177" s="55">
        <f t="shared" si="39"/>
        <v>0.53103448275862064</v>
      </c>
      <c r="AE177" s="57">
        <f t="shared" si="40"/>
        <v>0.93827160493827155</v>
      </c>
      <c r="AF177" s="55">
        <f t="shared" si="41"/>
        <v>0.36659436008676788</v>
      </c>
      <c r="AG177" s="55">
        <f t="shared" si="42"/>
        <v>8.5271317829457363E-2</v>
      </c>
      <c r="AH177" s="57">
        <f t="shared" si="43"/>
        <v>1</v>
      </c>
      <c r="AI177" s="55">
        <f t="shared" si="44"/>
        <v>0.14734774066797643</v>
      </c>
      <c r="AJ177" s="55">
        <f t="shared" si="45"/>
        <v>0.35262206148282099</v>
      </c>
      <c r="AK177" s="55">
        <f t="shared" si="46"/>
        <v>0.11666666666666667</v>
      </c>
      <c r="AL177" s="55">
        <f t="shared" si="47"/>
        <v>0.22843127825334233</v>
      </c>
      <c r="AM177" s="55">
        <f t="shared" si="48"/>
        <v>0.1225</v>
      </c>
      <c r="AN177" s="57">
        <f t="shared" si="49"/>
        <v>0.80074789094063525</v>
      </c>
      <c r="AO177" s="53">
        <f t="shared" si="50"/>
        <v>0.47929123878850904</v>
      </c>
      <c r="AP177" s="57">
        <f t="shared" si="55"/>
        <v>0.69254982248702202</v>
      </c>
      <c r="AQ177" s="54">
        <f t="shared" si="52"/>
        <v>1</v>
      </c>
      <c r="AS177" s="61" t="str">
        <f t="shared" si="53"/>
        <v/>
      </c>
      <c r="AT177" s="61">
        <f t="shared" si="54"/>
        <v>59.067</v>
      </c>
    </row>
    <row r="178" spans="1:46" x14ac:dyDescent="0.3">
      <c r="A178" s="55">
        <v>500</v>
      </c>
      <c r="B178" s="57">
        <v>3</v>
      </c>
      <c r="C178" s="55">
        <v>148</v>
      </c>
      <c r="D178" s="55">
        <v>13.1</v>
      </c>
      <c r="E178" s="57">
        <v>2.94</v>
      </c>
      <c r="F178" s="55">
        <v>10</v>
      </c>
      <c r="G178" s="55">
        <v>89</v>
      </c>
      <c r="H178" s="55">
        <v>16</v>
      </c>
      <c r="I178" s="55">
        <v>2.2000000000000001E-3</v>
      </c>
      <c r="J178" s="55">
        <v>69</v>
      </c>
      <c r="K178" s="57">
        <v>298.54399999999998</v>
      </c>
      <c r="L178" s="53">
        <v>36.529000000000003</v>
      </c>
      <c r="M178" s="60">
        <f t="shared" si="37"/>
        <v>262.01499999999999</v>
      </c>
      <c r="N178" s="54">
        <f t="shared" si="38"/>
        <v>1</v>
      </c>
      <c r="P178" s="6"/>
      <c r="R178" s="6"/>
      <c r="T178" s="6"/>
      <c r="V178" s="6"/>
      <c r="X178" s="6"/>
      <c r="Z178" s="6"/>
      <c r="AB178" s="8"/>
      <c r="AD178" s="55">
        <f t="shared" si="39"/>
        <v>0.56896551724137934</v>
      </c>
      <c r="AE178" s="57">
        <f t="shared" si="40"/>
        <v>0.13580246913580249</v>
      </c>
      <c r="AF178" s="55">
        <f t="shared" si="41"/>
        <v>0.32104121475054231</v>
      </c>
      <c r="AG178" s="55">
        <f t="shared" si="42"/>
        <v>1</v>
      </c>
      <c r="AH178" s="57">
        <f t="shared" si="43"/>
        <v>1</v>
      </c>
      <c r="AI178" s="55">
        <f t="shared" si="44"/>
        <v>9.8231827111984291E-2</v>
      </c>
      <c r="AJ178" s="55">
        <f t="shared" si="45"/>
        <v>0.25768535262206149</v>
      </c>
      <c r="AK178" s="55">
        <f t="shared" si="46"/>
        <v>0.11666666666666667</v>
      </c>
      <c r="AL178" s="55">
        <f t="shared" si="47"/>
        <v>0.19236318168702515</v>
      </c>
      <c r="AM178" s="55">
        <f t="shared" si="48"/>
        <v>0.17249999999999999</v>
      </c>
      <c r="AN178" s="57">
        <f t="shared" si="49"/>
        <v>1</v>
      </c>
      <c r="AO178" s="53">
        <f t="shared" si="50"/>
        <v>0.29618646821786043</v>
      </c>
      <c r="AP178" s="57">
        <f t="shared" si="55"/>
        <v>1</v>
      </c>
      <c r="AQ178" s="54">
        <f t="shared" si="52"/>
        <v>1</v>
      </c>
      <c r="AS178" s="61" t="str">
        <f t="shared" si="53"/>
        <v/>
      </c>
      <c r="AT178" s="61">
        <f t="shared" si="54"/>
        <v>36.529000000000003</v>
      </c>
    </row>
    <row r="179" spans="1:46" x14ac:dyDescent="0.3">
      <c r="A179" s="55">
        <v>470</v>
      </c>
      <c r="B179" s="57">
        <v>6</v>
      </c>
      <c r="C179" s="55">
        <v>165</v>
      </c>
      <c r="D179" s="55">
        <v>2.8</v>
      </c>
      <c r="E179" s="57">
        <v>2.94</v>
      </c>
      <c r="F179" s="55">
        <v>5</v>
      </c>
      <c r="G179" s="55">
        <v>46</v>
      </c>
      <c r="H179" s="55">
        <v>14</v>
      </c>
      <c r="I179" s="55">
        <v>1.6999999999999999E-3</v>
      </c>
      <c r="J179" s="55">
        <v>66</v>
      </c>
      <c r="K179" s="57">
        <v>157.08699999999999</v>
      </c>
      <c r="L179" s="53">
        <v>13.241</v>
      </c>
      <c r="M179" s="60">
        <f t="shared" si="37"/>
        <v>143.846</v>
      </c>
      <c r="N179" s="54">
        <f t="shared" si="38"/>
        <v>0</v>
      </c>
      <c r="P179" s="6"/>
      <c r="R179" s="6"/>
      <c r="T179" s="6"/>
      <c r="V179" s="6"/>
      <c r="X179" s="6"/>
      <c r="Z179" s="6"/>
      <c r="AB179" s="8"/>
      <c r="AD179" s="55">
        <f t="shared" si="39"/>
        <v>0.51724137931034486</v>
      </c>
      <c r="AE179" s="57">
        <f t="shared" si="40"/>
        <v>0.32098765432098769</v>
      </c>
      <c r="AF179" s="55">
        <f t="shared" si="41"/>
        <v>0.35791757049891543</v>
      </c>
      <c r="AG179" s="55">
        <f t="shared" si="42"/>
        <v>0.20155038759689919</v>
      </c>
      <c r="AH179" s="57">
        <f t="shared" si="43"/>
        <v>1</v>
      </c>
      <c r="AI179" s="55">
        <f t="shared" si="44"/>
        <v>4.9115913555992145E-2</v>
      </c>
      <c r="AJ179" s="55">
        <f t="shared" si="45"/>
        <v>6.3291139240506333E-2</v>
      </c>
      <c r="AK179" s="55">
        <f t="shared" si="46"/>
        <v>8.3333333333333329E-2</v>
      </c>
      <c r="AL179" s="55">
        <f t="shared" si="47"/>
        <v>0.13224968740982976</v>
      </c>
      <c r="AM179" s="55">
        <f t="shared" si="48"/>
        <v>0.16500000000000001</v>
      </c>
      <c r="AN179" s="57">
        <f t="shared" si="49"/>
        <v>0.51111641039996958</v>
      </c>
      <c r="AO179" s="53">
        <f t="shared" si="50"/>
        <v>0.10698849603535683</v>
      </c>
      <c r="AP179" s="57">
        <f t="shared" si="55"/>
        <v>0.54694317284319827</v>
      </c>
      <c r="AQ179" s="54">
        <f t="shared" si="52"/>
        <v>0</v>
      </c>
      <c r="AS179" s="61">
        <f t="shared" si="53"/>
        <v>13.241</v>
      </c>
      <c r="AT179" s="61" t="str">
        <f t="shared" si="54"/>
        <v/>
      </c>
    </row>
    <row r="180" spans="1:46" x14ac:dyDescent="0.3">
      <c r="A180" s="55">
        <v>370</v>
      </c>
      <c r="B180" s="57">
        <v>10</v>
      </c>
      <c r="C180" s="55">
        <v>150</v>
      </c>
      <c r="D180" s="55">
        <v>1.3</v>
      </c>
      <c r="E180" s="57">
        <v>2.94</v>
      </c>
      <c r="F180" s="55">
        <v>7</v>
      </c>
      <c r="G180" s="55">
        <v>48</v>
      </c>
      <c r="H180" s="55">
        <v>18</v>
      </c>
      <c r="I180" s="55">
        <v>2E-3</v>
      </c>
      <c r="J180" s="55">
        <v>106</v>
      </c>
      <c r="K180" s="57">
        <v>140.136</v>
      </c>
      <c r="L180" s="53">
        <v>26.725000000000001</v>
      </c>
      <c r="M180" s="60">
        <f t="shared" si="37"/>
        <v>113.411</v>
      </c>
      <c r="N180" s="54">
        <f t="shared" si="38"/>
        <v>0</v>
      </c>
      <c r="P180" s="6"/>
      <c r="R180" s="6"/>
      <c r="T180" s="6"/>
      <c r="V180" s="6"/>
      <c r="X180" s="6"/>
      <c r="Z180" s="6"/>
      <c r="AB180" s="8"/>
      <c r="AD180" s="55">
        <f t="shared" si="39"/>
        <v>0.34482758620689657</v>
      </c>
      <c r="AE180" s="57">
        <f t="shared" si="40"/>
        <v>0.5679012345679012</v>
      </c>
      <c r="AF180" s="55">
        <f t="shared" si="41"/>
        <v>0.32537960954446854</v>
      </c>
      <c r="AG180" s="55">
        <f t="shared" si="42"/>
        <v>8.5271317829457363E-2</v>
      </c>
      <c r="AH180" s="57">
        <f t="shared" si="43"/>
        <v>1</v>
      </c>
      <c r="AI180" s="55">
        <f t="shared" si="44"/>
        <v>6.8762278978389005E-2</v>
      </c>
      <c r="AJ180" s="55">
        <f t="shared" si="45"/>
        <v>7.2332730560578665E-2</v>
      </c>
      <c r="AK180" s="55">
        <f t="shared" si="46"/>
        <v>0.15</v>
      </c>
      <c r="AL180" s="55">
        <f t="shared" si="47"/>
        <v>0.168317783976147</v>
      </c>
      <c r="AM180" s="55">
        <f t="shared" si="48"/>
        <v>0.26500000000000001</v>
      </c>
      <c r="AN180" s="57">
        <f t="shared" si="49"/>
        <v>0.45253277206952208</v>
      </c>
      <c r="AO180" s="53">
        <f t="shared" si="50"/>
        <v>0.21653613674769273</v>
      </c>
      <c r="AP180" s="57">
        <f t="shared" si="55"/>
        <v>0.43025618611641486</v>
      </c>
      <c r="AQ180" s="54">
        <f t="shared" si="52"/>
        <v>0</v>
      </c>
      <c r="AS180" s="61">
        <f t="shared" si="53"/>
        <v>26.725000000000001</v>
      </c>
      <c r="AT180" s="61" t="str">
        <f t="shared" si="54"/>
        <v/>
      </c>
    </row>
    <row r="181" spans="1:46" x14ac:dyDescent="0.3">
      <c r="A181" s="55">
        <v>480</v>
      </c>
      <c r="B181" s="57">
        <v>4</v>
      </c>
      <c r="C181" s="55">
        <v>150</v>
      </c>
      <c r="D181" s="55">
        <v>1.5</v>
      </c>
      <c r="E181" s="57">
        <v>2.94</v>
      </c>
      <c r="F181" s="55">
        <v>0</v>
      </c>
      <c r="G181" s="55">
        <v>51</v>
      </c>
      <c r="H181" s="55">
        <v>15</v>
      </c>
      <c r="I181" s="55">
        <v>1.9E-3</v>
      </c>
      <c r="J181" s="55">
        <v>32</v>
      </c>
      <c r="K181" s="57">
        <v>87.989000000000004</v>
      </c>
      <c r="L181" s="53">
        <v>7.3559999999999999</v>
      </c>
      <c r="M181" s="60">
        <f t="shared" si="37"/>
        <v>80.63300000000001</v>
      </c>
      <c r="N181" s="54">
        <f t="shared" si="38"/>
        <v>0</v>
      </c>
      <c r="P181" s="6"/>
      <c r="R181" s="6"/>
      <c r="T181" s="6"/>
      <c r="V181" s="6"/>
      <c r="X181" s="6"/>
      <c r="Z181" s="6"/>
      <c r="AB181" s="8"/>
      <c r="AD181" s="55">
        <f t="shared" si="39"/>
        <v>0.53448275862068961</v>
      </c>
      <c r="AE181" s="57">
        <f t="shared" si="40"/>
        <v>0.19753086419753088</v>
      </c>
      <c r="AF181" s="55">
        <f t="shared" si="41"/>
        <v>0.32537960954446854</v>
      </c>
      <c r="AG181" s="55">
        <f t="shared" si="42"/>
        <v>0.10077519379844961</v>
      </c>
      <c r="AH181" s="57">
        <f t="shared" si="43"/>
        <v>1</v>
      </c>
      <c r="AI181" s="55">
        <f t="shared" si="44"/>
        <v>0</v>
      </c>
      <c r="AJ181" s="55">
        <f t="shared" si="45"/>
        <v>8.5895117540687169E-2</v>
      </c>
      <c r="AK181" s="55">
        <f t="shared" si="46"/>
        <v>0.1</v>
      </c>
      <c r="AL181" s="55">
        <f t="shared" si="47"/>
        <v>0.15629508512070789</v>
      </c>
      <c r="AM181" s="55">
        <f t="shared" si="48"/>
        <v>0.08</v>
      </c>
      <c r="AN181" s="57">
        <f t="shared" si="49"/>
        <v>0.27230971808935295</v>
      </c>
      <c r="AO181" s="53">
        <f t="shared" si="50"/>
        <v>5.9177174054335112E-2</v>
      </c>
      <c r="AP181" s="57">
        <f t="shared" si="55"/>
        <v>0.30458619922860464</v>
      </c>
      <c r="AQ181" s="54">
        <f t="shared" si="52"/>
        <v>0</v>
      </c>
      <c r="AS181" s="61">
        <f t="shared" si="53"/>
        <v>7.3559999999999999</v>
      </c>
      <c r="AT181" s="61" t="str">
        <f t="shared" si="54"/>
        <v/>
      </c>
    </row>
    <row r="182" spans="1:46" x14ac:dyDescent="0.3">
      <c r="A182" s="55">
        <v>287</v>
      </c>
      <c r="B182" s="57">
        <v>5</v>
      </c>
      <c r="C182" s="55">
        <v>180</v>
      </c>
      <c r="D182" s="55">
        <v>2.5</v>
      </c>
      <c r="E182" s="57">
        <v>2.94</v>
      </c>
      <c r="F182" s="55">
        <v>5</v>
      </c>
      <c r="G182" s="55">
        <v>57</v>
      </c>
      <c r="H182" s="55">
        <v>12</v>
      </c>
      <c r="I182" s="55">
        <v>2.3E-3</v>
      </c>
      <c r="J182" s="55">
        <v>77</v>
      </c>
      <c r="K182" s="57">
        <v>59.249000000000002</v>
      </c>
      <c r="L182" s="53">
        <v>16.016999999999999</v>
      </c>
      <c r="M182" s="60">
        <f t="shared" si="37"/>
        <v>43.231999999999999</v>
      </c>
      <c r="N182" s="54">
        <f t="shared" si="38"/>
        <v>0</v>
      </c>
      <c r="P182" s="6"/>
      <c r="R182" s="6"/>
      <c r="T182" s="6"/>
      <c r="V182" s="6"/>
      <c r="X182" s="6"/>
      <c r="Z182" s="6"/>
      <c r="AB182" s="8"/>
      <c r="AD182" s="55">
        <f t="shared" si="39"/>
        <v>0.20172413793103447</v>
      </c>
      <c r="AE182" s="57">
        <f t="shared" si="40"/>
        <v>0.2592592592592593</v>
      </c>
      <c r="AF182" s="55">
        <f t="shared" si="41"/>
        <v>0.39045553145336226</v>
      </c>
      <c r="AG182" s="55">
        <f t="shared" si="42"/>
        <v>0.17829457364341084</v>
      </c>
      <c r="AH182" s="57">
        <f t="shared" si="43"/>
        <v>1</v>
      </c>
      <c r="AI182" s="55">
        <f t="shared" si="44"/>
        <v>4.9115913555992145E-2</v>
      </c>
      <c r="AJ182" s="55">
        <f t="shared" si="45"/>
        <v>0.11301989150090416</v>
      </c>
      <c r="AK182" s="55">
        <f t="shared" si="46"/>
        <v>0.05</v>
      </c>
      <c r="AL182" s="55">
        <f t="shared" si="47"/>
        <v>0.2043858805424642</v>
      </c>
      <c r="AM182" s="55">
        <f t="shared" si="48"/>
        <v>0.1925</v>
      </c>
      <c r="AN182" s="57">
        <f t="shared" si="49"/>
        <v>0.17298261257244765</v>
      </c>
      <c r="AO182" s="53">
        <f t="shared" si="50"/>
        <v>0.12954146626803589</v>
      </c>
      <c r="AP182" s="57">
        <f t="shared" si="55"/>
        <v>0.1611917523559768</v>
      </c>
      <c r="AQ182" s="54">
        <f t="shared" si="52"/>
        <v>0</v>
      </c>
      <c r="AS182" s="61">
        <f t="shared" si="53"/>
        <v>16.016999999999999</v>
      </c>
      <c r="AT182" s="61" t="str">
        <f t="shared" si="54"/>
        <v/>
      </c>
    </row>
    <row r="183" spans="1:46" x14ac:dyDescent="0.3">
      <c r="A183" s="55">
        <v>170</v>
      </c>
      <c r="B183" s="57">
        <v>5</v>
      </c>
      <c r="C183" s="55">
        <v>150</v>
      </c>
      <c r="D183" s="55">
        <v>2.5</v>
      </c>
      <c r="E183" s="57">
        <v>2.94</v>
      </c>
      <c r="F183" s="55">
        <v>5</v>
      </c>
      <c r="G183" s="55">
        <v>53</v>
      </c>
      <c r="H183" s="55">
        <v>11</v>
      </c>
      <c r="I183" s="55">
        <v>2.3E-3</v>
      </c>
      <c r="J183" s="55">
        <v>75</v>
      </c>
      <c r="K183" s="57">
        <v>26.038</v>
      </c>
      <c r="L183" s="53">
        <v>11.792999999999999</v>
      </c>
      <c r="M183" s="60">
        <f t="shared" si="37"/>
        <v>14.245000000000001</v>
      </c>
      <c r="N183" s="54">
        <f t="shared" si="38"/>
        <v>0</v>
      </c>
      <c r="P183" s="6"/>
      <c r="R183" s="6"/>
      <c r="T183" s="6"/>
      <c r="V183" s="6"/>
      <c r="X183" s="6"/>
      <c r="Z183" s="6"/>
      <c r="AB183" s="8"/>
      <c r="AD183" s="55">
        <f t="shared" si="39"/>
        <v>0</v>
      </c>
      <c r="AE183" s="57">
        <f t="shared" si="40"/>
        <v>0.2592592592592593</v>
      </c>
      <c r="AF183" s="55">
        <f t="shared" si="41"/>
        <v>0.32537960954446854</v>
      </c>
      <c r="AG183" s="55">
        <f t="shared" si="42"/>
        <v>0.17829457364341084</v>
      </c>
      <c r="AH183" s="57">
        <f t="shared" si="43"/>
        <v>1</v>
      </c>
      <c r="AI183" s="55">
        <f t="shared" si="44"/>
        <v>4.9115913555992145E-2</v>
      </c>
      <c r="AJ183" s="55">
        <f t="shared" si="45"/>
        <v>9.49367088607595E-2</v>
      </c>
      <c r="AK183" s="55">
        <f t="shared" si="46"/>
        <v>3.3333333333333333E-2</v>
      </c>
      <c r="AL183" s="55">
        <f t="shared" si="47"/>
        <v>0.2043858805424642</v>
      </c>
      <c r="AM183" s="55">
        <f t="shared" si="48"/>
        <v>0.1875</v>
      </c>
      <c r="AN183" s="57">
        <f t="shared" si="49"/>
        <v>5.8203471955817765E-2</v>
      </c>
      <c r="AO183" s="53">
        <f t="shared" si="50"/>
        <v>9.5224554790068902E-2</v>
      </c>
      <c r="AP183" s="57">
        <f t="shared" si="55"/>
        <v>5.0056359412021821E-2</v>
      </c>
      <c r="AQ183" s="54">
        <f t="shared" si="52"/>
        <v>0</v>
      </c>
      <c r="AS183" s="61">
        <f t="shared" si="53"/>
        <v>11.792999999999999</v>
      </c>
      <c r="AT183" s="61" t="str">
        <f t="shared" si="54"/>
        <v/>
      </c>
    </row>
    <row r="184" spans="1:46" x14ac:dyDescent="0.3">
      <c r="A184" s="55">
        <v>569</v>
      </c>
      <c r="B184" s="57">
        <v>10</v>
      </c>
      <c r="C184" s="55">
        <v>160</v>
      </c>
      <c r="D184" s="55">
        <v>1.3</v>
      </c>
      <c r="E184" s="57">
        <v>2.94</v>
      </c>
      <c r="F184" s="55">
        <v>5</v>
      </c>
      <c r="G184" s="55">
        <v>46</v>
      </c>
      <c r="H184" s="55">
        <v>16</v>
      </c>
      <c r="I184" s="55">
        <v>2E-3</v>
      </c>
      <c r="J184" s="55">
        <v>73</v>
      </c>
      <c r="K184" s="57">
        <v>108.003</v>
      </c>
      <c r="L184" s="53">
        <v>28.756</v>
      </c>
      <c r="M184" s="60">
        <f t="shared" si="37"/>
        <v>79.247</v>
      </c>
      <c r="N184" s="54">
        <f t="shared" si="38"/>
        <v>0</v>
      </c>
      <c r="P184" s="6"/>
      <c r="R184" s="6"/>
      <c r="T184" s="6"/>
      <c r="V184" s="6"/>
      <c r="X184" s="6"/>
      <c r="Z184" s="6"/>
      <c r="AB184" s="8"/>
      <c r="AD184" s="55">
        <f t="shared" si="39"/>
        <v>0.68793103448275861</v>
      </c>
      <c r="AE184" s="57">
        <f t="shared" si="40"/>
        <v>0.5679012345679012</v>
      </c>
      <c r="AF184" s="55">
        <f t="shared" si="41"/>
        <v>0.34707158351409978</v>
      </c>
      <c r="AG184" s="55">
        <f t="shared" si="42"/>
        <v>8.5271317829457363E-2</v>
      </c>
      <c r="AH184" s="57">
        <f t="shared" si="43"/>
        <v>1</v>
      </c>
      <c r="AI184" s="55">
        <f t="shared" si="44"/>
        <v>4.9115913555992145E-2</v>
      </c>
      <c r="AJ184" s="55">
        <f t="shared" si="45"/>
        <v>6.3291139240506333E-2</v>
      </c>
      <c r="AK184" s="55">
        <f t="shared" si="46"/>
        <v>0.11666666666666667</v>
      </c>
      <c r="AL184" s="55">
        <f t="shared" si="47"/>
        <v>0.168317783976147</v>
      </c>
      <c r="AM184" s="55">
        <f t="shared" si="48"/>
        <v>0.1825</v>
      </c>
      <c r="AN184" s="57">
        <f t="shared" si="49"/>
        <v>0.34147926192426398</v>
      </c>
      <c r="AO184" s="53">
        <f t="shared" si="50"/>
        <v>0.23303652671259589</v>
      </c>
      <c r="AP184" s="57">
        <f t="shared" si="55"/>
        <v>0.2992723118094055</v>
      </c>
      <c r="AQ184" s="54">
        <f t="shared" si="52"/>
        <v>0</v>
      </c>
      <c r="AS184" s="61">
        <f t="shared" si="53"/>
        <v>28.756</v>
      </c>
      <c r="AT184" s="61" t="str">
        <f t="shared" si="54"/>
        <v/>
      </c>
    </row>
    <row r="185" spans="1:46" x14ac:dyDescent="0.3">
      <c r="A185" s="55">
        <v>270</v>
      </c>
      <c r="B185" s="57">
        <v>7</v>
      </c>
      <c r="C185" s="55">
        <v>156</v>
      </c>
      <c r="D185" s="55">
        <v>4.5999999999999996</v>
      </c>
      <c r="E185" s="57">
        <v>2.94</v>
      </c>
      <c r="F185" s="55">
        <v>15</v>
      </c>
      <c r="G185" s="55">
        <v>95</v>
      </c>
      <c r="H185" s="55">
        <v>13</v>
      </c>
      <c r="I185" s="55">
        <v>3.5000000000000001E-3</v>
      </c>
      <c r="J185" s="55">
        <v>77</v>
      </c>
      <c r="K185" s="57">
        <v>29.443999999999999</v>
      </c>
      <c r="L185" s="53">
        <v>25.393999999999998</v>
      </c>
      <c r="M185" s="60">
        <f t="shared" si="37"/>
        <v>4.0500000000000007</v>
      </c>
      <c r="N185" s="54">
        <f t="shared" si="38"/>
        <v>0</v>
      </c>
      <c r="P185" s="6"/>
      <c r="R185" s="6"/>
      <c r="T185" s="6"/>
      <c r="V185" s="6"/>
      <c r="X185" s="6"/>
      <c r="Z185" s="6"/>
      <c r="AB185" s="8"/>
      <c r="AD185" s="55">
        <f t="shared" si="39"/>
        <v>0.17241379310344829</v>
      </c>
      <c r="AE185" s="57">
        <f t="shared" si="40"/>
        <v>0.38271604938271608</v>
      </c>
      <c r="AF185" s="55">
        <f t="shared" si="41"/>
        <v>0.33839479392624727</v>
      </c>
      <c r="AG185" s="55">
        <f t="shared" si="42"/>
        <v>0.3410852713178294</v>
      </c>
      <c r="AH185" s="57">
        <f t="shared" si="43"/>
        <v>1</v>
      </c>
      <c r="AI185" s="55">
        <f t="shared" si="44"/>
        <v>0.14734774066797643</v>
      </c>
      <c r="AJ185" s="55">
        <f t="shared" si="45"/>
        <v>0.2848101265822785</v>
      </c>
      <c r="AK185" s="55">
        <f t="shared" si="46"/>
        <v>6.6666666666666666E-2</v>
      </c>
      <c r="AL185" s="55">
        <f t="shared" si="47"/>
        <v>0.34865826680773304</v>
      </c>
      <c r="AM185" s="55">
        <f t="shared" si="48"/>
        <v>0.1925</v>
      </c>
      <c r="AN185" s="57">
        <f t="shared" si="49"/>
        <v>6.9974805337535903E-2</v>
      </c>
      <c r="AO185" s="53">
        <f t="shared" si="50"/>
        <v>0.20572273495385415</v>
      </c>
      <c r="AP185" s="57">
        <f t="shared" si="55"/>
        <v>1.0968998489414402E-2</v>
      </c>
      <c r="AQ185" s="54">
        <f t="shared" si="52"/>
        <v>0</v>
      </c>
      <c r="AS185" s="61">
        <f t="shared" si="53"/>
        <v>25.393999999999998</v>
      </c>
      <c r="AT185" s="61" t="str">
        <f t="shared" si="54"/>
        <v/>
      </c>
    </row>
    <row r="186" spans="1:46" x14ac:dyDescent="0.3">
      <c r="A186" s="55">
        <v>400</v>
      </c>
      <c r="B186" s="57">
        <v>10</v>
      </c>
      <c r="C186" s="55">
        <v>142</v>
      </c>
      <c r="D186" s="55">
        <v>2.8</v>
      </c>
      <c r="E186" s="57">
        <v>2.94</v>
      </c>
      <c r="F186" s="55">
        <v>10</v>
      </c>
      <c r="G186" s="55">
        <v>84</v>
      </c>
      <c r="H186" s="55">
        <v>13</v>
      </c>
      <c r="I186" s="55">
        <v>2.1000000000000003E-3</v>
      </c>
      <c r="J186" s="55">
        <v>64</v>
      </c>
      <c r="K186" s="57">
        <v>64.120999999999995</v>
      </c>
      <c r="L186" s="53">
        <v>21.952999999999999</v>
      </c>
      <c r="M186" s="60">
        <f t="shared" si="37"/>
        <v>42.167999999999992</v>
      </c>
      <c r="N186" s="54">
        <f t="shared" si="38"/>
        <v>0</v>
      </c>
      <c r="P186" s="6"/>
      <c r="R186" s="6"/>
      <c r="T186" s="6"/>
      <c r="V186" s="6"/>
      <c r="X186" s="6"/>
      <c r="Z186" s="6"/>
      <c r="AB186" s="8"/>
      <c r="AD186" s="55">
        <f t="shared" si="39"/>
        <v>0.39655172413793105</v>
      </c>
      <c r="AE186" s="57">
        <f t="shared" si="40"/>
        <v>0.5679012345679012</v>
      </c>
      <c r="AF186" s="55">
        <f t="shared" si="41"/>
        <v>0.30802603036876358</v>
      </c>
      <c r="AG186" s="55">
        <f t="shared" si="42"/>
        <v>0.20155038759689919</v>
      </c>
      <c r="AH186" s="57">
        <f t="shared" si="43"/>
        <v>1</v>
      </c>
      <c r="AI186" s="55">
        <f t="shared" si="44"/>
        <v>9.8231827111984291E-2</v>
      </c>
      <c r="AJ186" s="55">
        <f t="shared" si="45"/>
        <v>0.23508137432188067</v>
      </c>
      <c r="AK186" s="55">
        <f t="shared" si="46"/>
        <v>6.6666666666666666E-2</v>
      </c>
      <c r="AL186" s="55">
        <f t="shared" si="47"/>
        <v>0.1803404828315861</v>
      </c>
      <c r="AM186" s="55">
        <f t="shared" si="48"/>
        <v>0.16</v>
      </c>
      <c r="AN186" s="57">
        <f t="shared" si="49"/>
        <v>0.18982052691059523</v>
      </c>
      <c r="AO186" s="53">
        <f t="shared" si="50"/>
        <v>0.17776712595866373</v>
      </c>
      <c r="AP186" s="57">
        <f t="shared" si="55"/>
        <v>0.15711240443820784</v>
      </c>
      <c r="AQ186" s="54">
        <f t="shared" si="52"/>
        <v>0</v>
      </c>
      <c r="AS186" s="61">
        <f t="shared" si="53"/>
        <v>21.952999999999999</v>
      </c>
      <c r="AT186" s="61" t="str">
        <f t="shared" si="54"/>
        <v/>
      </c>
    </row>
    <row r="187" spans="1:46" x14ac:dyDescent="0.3">
      <c r="A187" s="55">
        <v>330</v>
      </c>
      <c r="B187" s="57">
        <v>3</v>
      </c>
      <c r="C187" s="55">
        <v>156</v>
      </c>
      <c r="D187" s="55">
        <v>4.7</v>
      </c>
      <c r="E187" s="57">
        <v>2.94</v>
      </c>
      <c r="F187" s="55">
        <v>5</v>
      </c>
      <c r="G187" s="55">
        <v>61</v>
      </c>
      <c r="H187" s="55">
        <v>11</v>
      </c>
      <c r="I187" s="55">
        <v>1.6999999999999999E-3</v>
      </c>
      <c r="J187" s="55">
        <v>55</v>
      </c>
      <c r="K187" s="57">
        <v>43.485999999999997</v>
      </c>
      <c r="L187" s="53">
        <v>30.359000000000002</v>
      </c>
      <c r="M187" s="60">
        <f t="shared" si="37"/>
        <v>13.126999999999995</v>
      </c>
      <c r="N187" s="54">
        <f t="shared" si="38"/>
        <v>0</v>
      </c>
      <c r="P187" s="6"/>
      <c r="R187" s="6"/>
      <c r="T187" s="6"/>
      <c r="V187" s="6"/>
      <c r="X187" s="6"/>
      <c r="Z187" s="6"/>
      <c r="AB187" s="8"/>
      <c r="AD187" s="55">
        <f t="shared" si="39"/>
        <v>0.27586206896551724</v>
      </c>
      <c r="AE187" s="57">
        <f t="shared" si="40"/>
        <v>0.13580246913580249</v>
      </c>
      <c r="AF187" s="55">
        <f t="shared" si="41"/>
        <v>0.33839479392624727</v>
      </c>
      <c r="AG187" s="55">
        <f t="shared" si="42"/>
        <v>0.34883720930232559</v>
      </c>
      <c r="AH187" s="57">
        <f t="shared" si="43"/>
        <v>1</v>
      </c>
      <c r="AI187" s="55">
        <f t="shared" si="44"/>
        <v>4.9115913555992145E-2</v>
      </c>
      <c r="AJ187" s="55">
        <f t="shared" si="45"/>
        <v>0.13110307414104883</v>
      </c>
      <c r="AK187" s="55">
        <f t="shared" si="46"/>
        <v>3.3333333333333333E-2</v>
      </c>
      <c r="AL187" s="55">
        <f t="shared" si="47"/>
        <v>0.13224968740982976</v>
      </c>
      <c r="AM187" s="55">
        <f t="shared" si="48"/>
        <v>0.13750000000000001</v>
      </c>
      <c r="AN187" s="57">
        <f t="shared" si="49"/>
        <v>0.11850477108800161</v>
      </c>
      <c r="AO187" s="53">
        <f t="shared" si="50"/>
        <v>0.24605972962433384</v>
      </c>
      <c r="AP187" s="57">
        <f t="shared" si="55"/>
        <v>4.5769976919478872E-2</v>
      </c>
      <c r="AQ187" s="54">
        <f t="shared" si="52"/>
        <v>0</v>
      </c>
      <c r="AS187" s="61">
        <f t="shared" si="53"/>
        <v>30.359000000000002</v>
      </c>
      <c r="AT187" s="61" t="str">
        <f t="shared" si="54"/>
        <v/>
      </c>
    </row>
    <row r="188" spans="1:46" x14ac:dyDescent="0.3">
      <c r="N188" s="53"/>
      <c r="AD188" s="55"/>
      <c r="AE188" s="57"/>
      <c r="AF188" s="55"/>
      <c r="AG188" s="55"/>
      <c r="AH188" s="57"/>
      <c r="AI188" s="55"/>
      <c r="AJ188" s="55"/>
      <c r="AK188" s="55"/>
      <c r="AL188" s="55"/>
      <c r="AM188" s="55"/>
      <c r="AN188" s="57"/>
      <c r="AO188" s="53"/>
      <c r="AP188" s="57"/>
      <c r="AQ188" s="53"/>
    </row>
    <row r="189" spans="1:46" x14ac:dyDescent="0.3">
      <c r="A189" s="56"/>
      <c r="B189" s="58"/>
      <c r="C189" s="56"/>
      <c r="D189" s="56"/>
      <c r="E189" s="58"/>
      <c r="F189" s="56"/>
      <c r="G189" s="56"/>
      <c r="H189" s="56"/>
      <c r="I189" s="59"/>
      <c r="J189" s="56"/>
      <c r="K189" s="58"/>
      <c r="L189" s="54"/>
      <c r="M189" s="58"/>
      <c r="N189" s="53"/>
      <c r="P189" s="5"/>
      <c r="R189" s="5"/>
      <c r="T189" s="7"/>
      <c r="V189" s="5"/>
      <c r="X189" s="5"/>
      <c r="Z189" s="5"/>
      <c r="AD189" s="55"/>
      <c r="AE189" s="57"/>
      <c r="AF189" s="55"/>
      <c r="AG189" s="55"/>
      <c r="AH189" s="57"/>
      <c r="AI189" s="55"/>
      <c r="AJ189" s="55"/>
      <c r="AK189" s="55"/>
      <c r="AL189" s="55"/>
      <c r="AM189" s="55"/>
      <c r="AN189" s="57"/>
      <c r="AO189" s="53"/>
      <c r="AP189" s="57"/>
      <c r="AQ189" s="53"/>
    </row>
    <row r="190" spans="1:46" x14ac:dyDescent="0.3">
      <c r="A190" s="56"/>
      <c r="B190" s="58"/>
      <c r="C190" s="56"/>
      <c r="D190" s="56"/>
      <c r="E190" s="58"/>
      <c r="F190" s="56"/>
      <c r="G190" s="56"/>
      <c r="H190" s="56"/>
      <c r="I190" s="59"/>
      <c r="J190" s="56"/>
      <c r="K190" s="58"/>
      <c r="L190" s="54"/>
      <c r="M190" s="58"/>
      <c r="N190" s="53"/>
      <c r="P190" s="5"/>
      <c r="R190" s="5"/>
      <c r="T190" s="7"/>
      <c r="V190" s="5"/>
      <c r="X190" s="5"/>
      <c r="Z190" s="5"/>
      <c r="AD190" s="55"/>
      <c r="AE190" s="57"/>
      <c r="AF190" s="55"/>
      <c r="AG190" s="55"/>
      <c r="AH190" s="57"/>
      <c r="AI190" s="55"/>
      <c r="AJ190" s="55"/>
      <c r="AK190" s="55"/>
      <c r="AL190" s="55"/>
      <c r="AM190" s="55"/>
      <c r="AN190" s="57"/>
      <c r="AO190" s="53"/>
      <c r="AP190" s="57"/>
      <c r="AQ190" s="53"/>
    </row>
    <row r="191" spans="1:46" x14ac:dyDescent="0.3">
      <c r="A191" s="56"/>
      <c r="B191" s="58"/>
      <c r="C191" s="56"/>
      <c r="D191" s="56"/>
      <c r="E191" s="58"/>
      <c r="F191" s="56"/>
      <c r="G191" s="56"/>
      <c r="H191" s="56"/>
      <c r="I191" s="59"/>
      <c r="J191" s="56"/>
      <c r="K191" s="58"/>
      <c r="L191" s="54"/>
      <c r="M191" s="58"/>
      <c r="N191" s="53"/>
      <c r="P191" s="5"/>
      <c r="R191" s="5"/>
      <c r="T191" s="7"/>
      <c r="V191" s="5"/>
      <c r="X191" s="5"/>
      <c r="Z191" s="5"/>
      <c r="AD191" s="55"/>
      <c r="AE191" s="57"/>
      <c r="AF191" s="55"/>
      <c r="AG191" s="55"/>
      <c r="AH191" s="57"/>
      <c r="AI191" s="55"/>
      <c r="AJ191" s="55"/>
      <c r="AK191" s="55"/>
      <c r="AL191" s="55"/>
      <c r="AM191" s="55"/>
      <c r="AN191" s="57"/>
      <c r="AO191" s="53"/>
      <c r="AP191" s="57"/>
      <c r="AQ191" s="53"/>
    </row>
    <row r="192" spans="1:46" x14ac:dyDescent="0.3">
      <c r="A192" s="56"/>
      <c r="B192" s="58"/>
      <c r="C192" s="56"/>
      <c r="D192" s="56"/>
      <c r="E192" s="58"/>
      <c r="F192" s="56"/>
      <c r="G192" s="56"/>
      <c r="H192" s="56"/>
      <c r="I192" s="56"/>
      <c r="J192" s="56"/>
      <c r="K192" s="58"/>
      <c r="L192" s="54"/>
      <c r="M192" s="58"/>
      <c r="N192" s="53"/>
      <c r="P192" s="5"/>
      <c r="R192" s="5"/>
      <c r="T192" s="5"/>
      <c r="V192" s="5"/>
      <c r="X192" s="5"/>
      <c r="Z192" s="5"/>
      <c r="AD192" s="55"/>
      <c r="AE192" s="57"/>
      <c r="AF192" s="55"/>
      <c r="AG192" s="55"/>
      <c r="AH192" s="57"/>
      <c r="AI192" s="55"/>
      <c r="AJ192" s="55"/>
      <c r="AK192" s="55"/>
      <c r="AL192" s="55"/>
      <c r="AM192" s="55"/>
      <c r="AN192" s="57"/>
      <c r="AO192" s="53"/>
      <c r="AP192" s="57"/>
      <c r="AQ192" s="53"/>
    </row>
    <row r="193" spans="13:43" x14ac:dyDescent="0.3">
      <c r="M193" s="43"/>
      <c r="N193" s="53"/>
      <c r="AD193" s="55"/>
      <c r="AE193" s="57"/>
      <c r="AF193" s="55"/>
      <c r="AG193" s="55"/>
      <c r="AH193" s="57"/>
      <c r="AI193" s="55"/>
      <c r="AJ193" s="55"/>
      <c r="AK193" s="55"/>
      <c r="AL193" s="55"/>
      <c r="AM193" s="55"/>
      <c r="AN193" s="57"/>
      <c r="AO193" s="53"/>
      <c r="AP193" s="57"/>
      <c r="AQ193" s="53"/>
    </row>
    <row r="194" spans="13:43" x14ac:dyDescent="0.3">
      <c r="M194" s="43"/>
      <c r="N194" s="53"/>
      <c r="AD194" s="55"/>
      <c r="AE194" s="57"/>
      <c r="AF194" s="55"/>
      <c r="AG194" s="55"/>
      <c r="AH194" s="57"/>
      <c r="AI194" s="55"/>
      <c r="AJ194" s="55"/>
      <c r="AK194" s="55"/>
      <c r="AL194" s="55"/>
      <c r="AM194" s="55"/>
      <c r="AN194" s="57"/>
      <c r="AO194" s="53"/>
      <c r="AP194" s="57"/>
      <c r="AQ194" s="53"/>
    </row>
    <row r="195" spans="13:43" x14ac:dyDescent="0.3">
      <c r="M195" s="43"/>
      <c r="N195" s="53"/>
      <c r="AD195" s="55"/>
      <c r="AE195" s="57"/>
      <c r="AF195" s="55"/>
      <c r="AG195" s="55"/>
      <c r="AH195" s="57"/>
      <c r="AI195" s="55"/>
      <c r="AJ195" s="55"/>
      <c r="AK195" s="55"/>
      <c r="AL195" s="55"/>
      <c r="AM195" s="55"/>
      <c r="AN195" s="57"/>
      <c r="AO195" s="53"/>
      <c r="AP195" s="57"/>
      <c r="AQ195" s="53"/>
    </row>
    <row r="196" spans="13:43" x14ac:dyDescent="0.3">
      <c r="M196" s="43"/>
      <c r="N196" s="53"/>
      <c r="AD196" s="55"/>
      <c r="AE196" s="57"/>
      <c r="AF196" s="55"/>
      <c r="AG196" s="55"/>
      <c r="AH196" s="57"/>
      <c r="AI196" s="55"/>
      <c r="AJ196" s="55"/>
      <c r="AK196" s="55"/>
      <c r="AL196" s="55"/>
      <c r="AM196" s="55"/>
      <c r="AN196" s="57"/>
      <c r="AO196" s="53"/>
      <c r="AP196" s="57"/>
      <c r="AQ196" s="53"/>
    </row>
    <row r="197" spans="13:43" x14ac:dyDescent="0.3">
      <c r="M197" s="43"/>
      <c r="N197" s="53"/>
      <c r="AD197" s="55"/>
      <c r="AE197" s="57"/>
      <c r="AF197" s="55"/>
      <c r="AG197" s="55"/>
      <c r="AH197" s="57"/>
      <c r="AI197" s="55"/>
      <c r="AJ197" s="55"/>
      <c r="AK197" s="55"/>
      <c r="AL197" s="55"/>
      <c r="AM197" s="55"/>
      <c r="AN197" s="57"/>
      <c r="AO197" s="53"/>
      <c r="AP197" s="57"/>
      <c r="AQ197" s="53"/>
    </row>
  </sheetData>
  <conditionalFormatting sqref="A3:A187">
    <cfRule type="expression" dxfId="15" priority="30">
      <formula>#REF!=TRUE</formula>
    </cfRule>
  </conditionalFormatting>
  <conditionalFormatting sqref="B3:B187">
    <cfRule type="expression" dxfId="14" priority="32">
      <formula>#REF!=TRUE</formula>
    </cfRule>
  </conditionalFormatting>
  <conditionalFormatting sqref="C3:F187">
    <cfRule type="expression" dxfId="13" priority="33">
      <formula>#REF!=TRUE</formula>
    </cfRule>
  </conditionalFormatting>
  <conditionalFormatting sqref="G3:G187">
    <cfRule type="expression" dxfId="12" priority="29">
      <formula>$P3=TRUE</formula>
    </cfRule>
  </conditionalFormatting>
  <conditionalFormatting sqref="H3:H187">
    <cfRule type="expression" dxfId="11" priority="28">
      <formula>$R3=TRUE</formula>
    </cfRule>
  </conditionalFormatting>
  <conditionalFormatting sqref="I3:I187">
    <cfRule type="expression" dxfId="10" priority="27">
      <formula>$T3=TRUE</formula>
    </cfRule>
  </conditionalFormatting>
  <conditionalFormatting sqref="J3:J187">
    <cfRule type="expression" dxfId="9" priority="25">
      <formula>$X3=TRUE</formula>
    </cfRule>
  </conditionalFormatting>
  <conditionalFormatting sqref="K3:K187">
    <cfRule type="expression" dxfId="8" priority="24">
      <formula>$Z3=TRUE</formula>
    </cfRule>
  </conditionalFormatting>
  <conditionalFormatting sqref="L3:L187">
    <cfRule type="expression" dxfId="7" priority="23">
      <formula>$AB3=TRUE</formula>
    </cfRule>
  </conditionalFormatting>
  <conditionalFormatting sqref="M3:M187">
    <cfRule type="expression" dxfId="6" priority="22">
      <formula>$AD3=TRUE</formula>
    </cfRule>
  </conditionalFormatting>
  <conditionalFormatting sqref="N3:N187">
    <cfRule type="colorScale" priority="1">
      <colorScale>
        <cfvo type="min"/>
        <cfvo type="percentile" val="50"/>
        <cfvo type="max"/>
        <color theme="7" tint="0.39997558519241921"/>
        <color theme="9" tint="-0.249977111117893"/>
        <color theme="4" tint="-0.249977111117893"/>
      </colorScale>
    </cfRule>
    <cfRule type="cellIs" dxfId="5" priority="2" operator="greaterThan">
      <formula>1</formula>
    </cfRule>
  </conditionalFormatting>
  <conditionalFormatting sqref="N3:N197">
    <cfRule type="expression" dxfId="4" priority="3">
      <formula>#REF!=TRUE</formula>
    </cfRule>
  </conditionalFormatting>
  <conditionalFormatting sqref="AD3:AP197">
    <cfRule type="expression" dxfId="3" priority="16">
      <formula>#REF!=TRUE</formula>
    </cfRule>
  </conditionalFormatting>
  <conditionalFormatting sqref="AD3:AQ187">
    <cfRule type="cellIs" dxfId="2" priority="6" operator="greaterThan">
      <formula>1</formula>
    </cfRule>
  </conditionalFormatting>
  <conditionalFormatting sqref="AQ3:AQ187">
    <cfRule type="colorScale" priority="5">
      <colorScale>
        <cfvo type="min"/>
        <cfvo type="percentile" val="50"/>
        <cfvo type="max"/>
        <color theme="7" tint="0.39997558519241921"/>
        <color theme="9" tint="-0.249977111117893"/>
        <color theme="4" tint="-0.249977111117893"/>
      </colorScale>
    </cfRule>
  </conditionalFormatting>
  <conditionalFormatting sqref="AQ3:AQ197">
    <cfRule type="expression" dxfId="1" priority="7">
      <formula>#REF!=TRUE</formula>
    </cfRule>
  </conditionalFormatting>
  <conditionalFormatting sqref="AS3:AS187">
    <cfRule type="notContainsBlanks" dxfId="0" priority="4">
      <formula>LEN(TRIM(AS3))&gt;0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54"/>
  <sheetViews>
    <sheetView zoomScale="70" zoomScaleNormal="70" workbookViewId="0">
      <selection activeCell="B2" sqref="B2:P15"/>
    </sheetView>
  </sheetViews>
  <sheetFormatPr defaultRowHeight="14.4" x14ac:dyDescent="0.3"/>
  <cols>
    <col min="1" max="1" width="41.6640625" bestFit="1" customWidth="1"/>
    <col min="2" max="2" width="31" customWidth="1"/>
  </cols>
  <sheetData>
    <row r="1" spans="1:35" ht="15" customHeight="1" thickBot="1" x14ac:dyDescent="0.35">
      <c r="A1" s="64" t="s">
        <v>93</v>
      </c>
    </row>
    <row r="2" spans="1:35" ht="15" customHeight="1" x14ac:dyDescent="0.3">
      <c r="A2" s="64"/>
      <c r="C2" s="12" t="s">
        <v>18</v>
      </c>
      <c r="D2" s="12" t="s">
        <v>20</v>
      </c>
      <c r="E2" s="12" t="s">
        <v>21</v>
      </c>
      <c r="F2" s="12" t="s">
        <v>6</v>
      </c>
      <c r="G2" s="12" t="s">
        <v>22</v>
      </c>
      <c r="H2" s="12" t="s">
        <v>24</v>
      </c>
      <c r="I2" s="12" t="s">
        <v>25</v>
      </c>
      <c r="J2" s="12" t="s">
        <v>26</v>
      </c>
      <c r="K2" s="12" t="s">
        <v>31</v>
      </c>
      <c r="L2" s="12" t="s">
        <v>28</v>
      </c>
      <c r="M2" s="12" t="s">
        <v>29</v>
      </c>
      <c r="N2" s="12" t="s">
        <v>30</v>
      </c>
      <c r="O2" s="12" t="s">
        <v>82</v>
      </c>
      <c r="P2" s="68" t="s">
        <v>96</v>
      </c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5" ht="15" customHeight="1" x14ac:dyDescent="0.3">
      <c r="A3" s="64"/>
      <c r="B3" t="s">
        <v>18</v>
      </c>
      <c r="C3">
        <v>1</v>
      </c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</row>
    <row r="4" spans="1:35" ht="15" customHeight="1" x14ac:dyDescent="0.3">
      <c r="A4" s="65"/>
      <c r="B4" t="s">
        <v>20</v>
      </c>
      <c r="C4">
        <v>-0.18616142870237024</v>
      </c>
      <c r="D4">
        <v>1</v>
      </c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15" customHeight="1" x14ac:dyDescent="0.3">
      <c r="A5" s="66"/>
      <c r="B5" t="s">
        <v>21</v>
      </c>
      <c r="C5">
        <v>0.72673540558474814</v>
      </c>
      <c r="D5">
        <v>-0.23818174480229259</v>
      </c>
      <c r="E5">
        <v>1</v>
      </c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</row>
    <row r="6" spans="1:35" ht="15" customHeight="1" x14ac:dyDescent="0.3">
      <c r="A6" s="65"/>
      <c r="B6" t="s">
        <v>6</v>
      </c>
      <c r="C6">
        <v>-0.48587263104540795</v>
      </c>
      <c r="D6">
        <v>-1.3180858370650018E-2</v>
      </c>
      <c r="E6">
        <v>-0.54194013128566243</v>
      </c>
      <c r="F6">
        <v>1</v>
      </c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</row>
    <row r="7" spans="1:35" ht="15" customHeight="1" x14ac:dyDescent="0.3">
      <c r="A7" s="65"/>
      <c r="B7" t="s">
        <v>22</v>
      </c>
      <c r="C7">
        <v>-0.77462827656435695</v>
      </c>
      <c r="D7">
        <v>0.31735289644333053</v>
      </c>
      <c r="E7">
        <v>-0.91693885623319393</v>
      </c>
      <c r="F7">
        <v>0.54045338696053236</v>
      </c>
      <c r="G7">
        <v>1</v>
      </c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15" customHeight="1" x14ac:dyDescent="0.3">
      <c r="A8" s="65"/>
      <c r="B8" t="s">
        <v>24</v>
      </c>
      <c r="C8">
        <v>0.7423165581943757</v>
      </c>
      <c r="D8">
        <v>-0.22792884871647748</v>
      </c>
      <c r="E8">
        <v>0.9001805073928042</v>
      </c>
      <c r="F8">
        <v>-0.52504070925595481</v>
      </c>
      <c r="G8">
        <v>-0.92904129495258914</v>
      </c>
      <c r="H8">
        <v>1</v>
      </c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</row>
    <row r="9" spans="1:35" ht="15" customHeight="1" x14ac:dyDescent="0.3">
      <c r="A9" s="65"/>
      <c r="B9" t="s">
        <v>25</v>
      </c>
      <c r="C9">
        <v>0.66069239528134871</v>
      </c>
      <c r="D9">
        <v>-0.24419755820250397</v>
      </c>
      <c r="E9">
        <v>0.74800992735081306</v>
      </c>
      <c r="F9">
        <v>-0.41592833071457597</v>
      </c>
      <c r="G9">
        <v>-0.8331748833431194</v>
      </c>
      <c r="H9">
        <v>0.86656582129142357</v>
      </c>
      <c r="I9">
        <v>1</v>
      </c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</row>
    <row r="10" spans="1:35" ht="15" customHeight="1" x14ac:dyDescent="0.3">
      <c r="A10" s="65"/>
      <c r="B10" t="s">
        <v>26</v>
      </c>
      <c r="C10">
        <v>0.65982443197230478</v>
      </c>
      <c r="D10">
        <v>-0.17024043675097772</v>
      </c>
      <c r="E10">
        <v>0.84983817863922739</v>
      </c>
      <c r="F10">
        <v>-0.50142964527528322</v>
      </c>
      <c r="G10">
        <v>-0.87918891051622994</v>
      </c>
      <c r="H10">
        <v>0.86915515502429208</v>
      </c>
      <c r="I10">
        <v>0.6679996443603855</v>
      </c>
      <c r="J10">
        <v>1</v>
      </c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</row>
    <row r="11" spans="1:35" ht="15" customHeight="1" x14ac:dyDescent="0.3">
      <c r="A11" s="65"/>
      <c r="B11" t="s">
        <v>31</v>
      </c>
      <c r="C11">
        <v>0.48390167189891026</v>
      </c>
      <c r="D11">
        <v>-0.26355572755208267</v>
      </c>
      <c r="E11">
        <v>0.5154109613980713</v>
      </c>
      <c r="F11">
        <v>-0.32790213354003106</v>
      </c>
      <c r="G11">
        <v>-0.58780620648306336</v>
      </c>
      <c r="H11">
        <v>0.59526801655456918</v>
      </c>
      <c r="I11">
        <v>0.67153508722734945</v>
      </c>
      <c r="J11">
        <v>0.35188787329208937</v>
      </c>
      <c r="K11">
        <v>1</v>
      </c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</row>
    <row r="12" spans="1:35" ht="15" customHeight="1" x14ac:dyDescent="0.3">
      <c r="A12" s="65"/>
      <c r="B12" t="s">
        <v>28</v>
      </c>
      <c r="C12">
        <v>0.75448978768531638</v>
      </c>
      <c r="D12">
        <v>-0.29437249664879045</v>
      </c>
      <c r="E12">
        <v>0.96183787600081705</v>
      </c>
      <c r="F12">
        <v>-0.52561149951859087</v>
      </c>
      <c r="G12">
        <v>-0.92556977103741445</v>
      </c>
      <c r="H12">
        <v>0.9057443299985134</v>
      </c>
      <c r="I12">
        <v>0.74817126339186002</v>
      </c>
      <c r="J12">
        <v>0.84946753446636569</v>
      </c>
      <c r="K12">
        <v>0.54006103550271156</v>
      </c>
      <c r="L12">
        <v>1</v>
      </c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</row>
    <row r="13" spans="1:35" ht="15" customHeight="1" x14ac:dyDescent="0.3">
      <c r="A13" s="65"/>
      <c r="B13" t="s">
        <v>29</v>
      </c>
      <c r="C13">
        <v>0.26731560597701065</v>
      </c>
      <c r="D13">
        <v>0.22621845641935157</v>
      </c>
      <c r="E13">
        <v>5.7705246309003477E-2</v>
      </c>
      <c r="F13">
        <v>7.1229535527699311E-2</v>
      </c>
      <c r="G13">
        <v>-1.8332999139039824E-2</v>
      </c>
      <c r="H13">
        <v>4.2571725934176109E-2</v>
      </c>
      <c r="I13">
        <v>5.4047886391225687E-2</v>
      </c>
      <c r="J13">
        <v>3.1045119458217942E-2</v>
      </c>
      <c r="K13">
        <v>-3.6151760587439734E-2</v>
      </c>
      <c r="L13">
        <v>3.030327501875844E-3</v>
      </c>
      <c r="M13">
        <v>1</v>
      </c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</row>
    <row r="14" spans="1:35" ht="15" customHeight="1" x14ac:dyDescent="0.3">
      <c r="A14" s="65"/>
      <c r="B14" t="s">
        <v>30</v>
      </c>
      <c r="C14">
        <v>0.64507754853807409</v>
      </c>
      <c r="D14">
        <v>-1.0416787513384607E-3</v>
      </c>
      <c r="E14">
        <v>0.5844424023609669</v>
      </c>
      <c r="F14">
        <v>-0.33260799279443104</v>
      </c>
      <c r="G14">
        <v>-0.65734276695884986</v>
      </c>
      <c r="H14">
        <v>0.62704712094652848</v>
      </c>
      <c r="I14">
        <v>0.62926403855085644</v>
      </c>
      <c r="J14">
        <v>0.48007850812433933</v>
      </c>
      <c r="K14">
        <v>0.51706506138237807</v>
      </c>
      <c r="L14">
        <v>0.59606846539402025</v>
      </c>
      <c r="M14">
        <v>0.41055215074252688</v>
      </c>
      <c r="N14">
        <v>1</v>
      </c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</row>
    <row r="15" spans="1:35" ht="15" customHeight="1" thickBot="1" x14ac:dyDescent="0.35">
      <c r="A15" s="65"/>
      <c r="B15" s="10" t="s">
        <v>82</v>
      </c>
      <c r="C15" s="10">
        <v>-7.7088675427103015E-2</v>
      </c>
      <c r="D15" s="10">
        <v>0.24678022107424219</v>
      </c>
      <c r="E15" s="10">
        <v>-0.27060990000819757</v>
      </c>
      <c r="F15" s="10">
        <v>0.26726058475531245</v>
      </c>
      <c r="G15" s="10">
        <v>0.35504508507628929</v>
      </c>
      <c r="H15" s="10">
        <v>-0.31138404344073661</v>
      </c>
      <c r="I15" s="10">
        <v>-0.30015961382690842</v>
      </c>
      <c r="J15" s="10">
        <v>-0.24008644369159662</v>
      </c>
      <c r="K15" s="10">
        <v>-0.33431438677956576</v>
      </c>
      <c r="L15" s="10">
        <v>-0.33674313802783606</v>
      </c>
      <c r="M15" s="10">
        <v>0.85405761561921334</v>
      </c>
      <c r="N15" s="10">
        <v>-0.12368280138839713</v>
      </c>
      <c r="O15" s="10">
        <v>1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</row>
    <row r="16" spans="1:35" ht="15" customHeight="1" x14ac:dyDescent="0.3">
      <c r="B16" s="69" t="s">
        <v>96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T16" s="91" t="s">
        <v>98</v>
      </c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  <c r="AG16" s="91"/>
      <c r="AH16" s="91"/>
    </row>
    <row r="17" spans="1:16" ht="15" customHeight="1" x14ac:dyDescent="0.3">
      <c r="A17" s="64"/>
    </row>
    <row r="18" spans="1:16" ht="15" customHeight="1" thickBot="1" x14ac:dyDescent="0.35">
      <c r="A18" s="64" t="s">
        <v>94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</row>
    <row r="19" spans="1:16" ht="24.9" customHeight="1" x14ac:dyDescent="0.3">
      <c r="A19" s="64"/>
      <c r="B19" s="12"/>
      <c r="C19" s="12" t="s">
        <v>18</v>
      </c>
      <c r="D19" s="12" t="s">
        <v>20</v>
      </c>
      <c r="E19" s="12" t="s">
        <v>21</v>
      </c>
      <c r="F19" s="12" t="s">
        <v>6</v>
      </c>
      <c r="G19" s="12" t="s">
        <v>22</v>
      </c>
      <c r="H19" s="12" t="s">
        <v>24</v>
      </c>
      <c r="I19" s="12" t="s">
        <v>25</v>
      </c>
      <c r="J19" s="12" t="s">
        <v>26</v>
      </c>
      <c r="K19" s="12" t="s">
        <v>31</v>
      </c>
      <c r="L19" s="12" t="s">
        <v>28</v>
      </c>
      <c r="M19" s="12" t="s">
        <v>29</v>
      </c>
      <c r="N19" s="12" t="s">
        <v>30</v>
      </c>
      <c r="O19" s="12" t="s">
        <v>82</v>
      </c>
      <c r="P19" s="68" t="s">
        <v>96</v>
      </c>
    </row>
    <row r="20" spans="1:16" ht="15.6" x14ac:dyDescent="0.3">
      <c r="A20" s="64"/>
      <c r="B20" t="s">
        <v>18</v>
      </c>
      <c r="C20">
        <v>1</v>
      </c>
    </row>
    <row r="21" spans="1:16" ht="15.6" x14ac:dyDescent="0.3">
      <c r="A21" s="64"/>
      <c r="B21" t="s">
        <v>20</v>
      </c>
      <c r="C21">
        <v>-0.18616142870237024</v>
      </c>
      <c r="D21">
        <v>1</v>
      </c>
    </row>
    <row r="22" spans="1:16" ht="15.6" x14ac:dyDescent="0.3">
      <c r="A22" s="64"/>
      <c r="B22" t="s">
        <v>21</v>
      </c>
      <c r="C22">
        <v>0.72673540558474814</v>
      </c>
      <c r="D22">
        <v>-0.23818174480229259</v>
      </c>
      <c r="E22">
        <v>1</v>
      </c>
    </row>
    <row r="23" spans="1:16" ht="15.6" x14ac:dyDescent="0.3">
      <c r="A23" s="64"/>
      <c r="B23" t="s">
        <v>6</v>
      </c>
      <c r="C23">
        <v>-0.48587263104540795</v>
      </c>
      <c r="D23">
        <v>-1.3180858370650018E-2</v>
      </c>
      <c r="E23">
        <v>-0.54194013128566243</v>
      </c>
      <c r="F23">
        <v>1</v>
      </c>
    </row>
    <row r="24" spans="1:16" ht="15.6" x14ac:dyDescent="0.3">
      <c r="A24" s="64"/>
      <c r="B24" t="s">
        <v>22</v>
      </c>
      <c r="C24">
        <v>-0.77462827656435695</v>
      </c>
      <c r="D24">
        <v>0.31735289644333053</v>
      </c>
      <c r="E24">
        <v>-0.91693885623319393</v>
      </c>
      <c r="F24">
        <v>0.54045338696053236</v>
      </c>
      <c r="G24">
        <v>1</v>
      </c>
    </row>
    <row r="25" spans="1:16" ht="15.6" x14ac:dyDescent="0.3">
      <c r="A25" s="64"/>
      <c r="B25" t="s">
        <v>24</v>
      </c>
      <c r="C25">
        <v>0.7423165581943757</v>
      </c>
      <c r="D25">
        <v>-0.22792884871647748</v>
      </c>
      <c r="E25">
        <v>0.9001805073928042</v>
      </c>
      <c r="F25">
        <v>-0.52504070925595481</v>
      </c>
      <c r="G25">
        <v>-0.92904129495258914</v>
      </c>
      <c r="H25">
        <v>1</v>
      </c>
    </row>
    <row r="26" spans="1:16" ht="15.6" x14ac:dyDescent="0.3">
      <c r="A26" s="64"/>
      <c r="B26" t="s">
        <v>25</v>
      </c>
      <c r="C26">
        <v>0.66069239528134871</v>
      </c>
      <c r="D26">
        <v>-0.24419755820250397</v>
      </c>
      <c r="E26">
        <v>0.74800992735081306</v>
      </c>
      <c r="F26">
        <v>-0.41592833071457597</v>
      </c>
      <c r="G26">
        <v>-0.8331748833431194</v>
      </c>
      <c r="H26">
        <v>0.86656582129142357</v>
      </c>
      <c r="I26">
        <v>1</v>
      </c>
    </row>
    <row r="27" spans="1:16" ht="15.6" x14ac:dyDescent="0.3">
      <c r="A27" s="64"/>
      <c r="B27" t="s">
        <v>26</v>
      </c>
      <c r="C27">
        <v>0.65982443197230478</v>
      </c>
      <c r="D27">
        <v>-0.17024043675097772</v>
      </c>
      <c r="E27">
        <v>0.84983817863922739</v>
      </c>
      <c r="F27">
        <v>-0.50142964527528322</v>
      </c>
      <c r="G27">
        <v>-0.87918891051622994</v>
      </c>
      <c r="H27">
        <v>0.86915515502429208</v>
      </c>
      <c r="I27">
        <v>0.6679996443603855</v>
      </c>
      <c r="J27">
        <v>1</v>
      </c>
    </row>
    <row r="28" spans="1:16" ht="15.6" x14ac:dyDescent="0.3">
      <c r="A28" s="64"/>
      <c r="B28" t="s">
        <v>31</v>
      </c>
      <c r="C28">
        <v>0.48390167189891026</v>
      </c>
      <c r="D28">
        <v>-0.26355572755208267</v>
      </c>
      <c r="E28">
        <v>0.5154109613980713</v>
      </c>
      <c r="F28">
        <v>-0.32790213354003106</v>
      </c>
      <c r="G28">
        <v>-0.58780620648306336</v>
      </c>
      <c r="H28">
        <v>0.59526801655456918</v>
      </c>
      <c r="I28">
        <v>0.67153508722734945</v>
      </c>
      <c r="J28">
        <v>0.35188787329208937</v>
      </c>
      <c r="K28">
        <v>1</v>
      </c>
    </row>
    <row r="29" spans="1:16" ht="15.6" x14ac:dyDescent="0.3">
      <c r="A29" s="64"/>
      <c r="B29" t="s">
        <v>28</v>
      </c>
      <c r="C29">
        <v>0.75448978768531638</v>
      </c>
      <c r="D29">
        <v>-0.29437249664879045</v>
      </c>
      <c r="E29">
        <v>0.96183787600081705</v>
      </c>
      <c r="F29">
        <v>-0.52561149951859087</v>
      </c>
      <c r="G29">
        <v>-0.92556977103741445</v>
      </c>
      <c r="H29">
        <v>0.9057443299985134</v>
      </c>
      <c r="I29">
        <v>0.74817126339186002</v>
      </c>
      <c r="J29">
        <v>0.84946753446636569</v>
      </c>
      <c r="K29">
        <v>0.54006103550271156</v>
      </c>
      <c r="L29">
        <v>1</v>
      </c>
    </row>
    <row r="30" spans="1:16" ht="15.6" x14ac:dyDescent="0.3">
      <c r="A30" s="64"/>
      <c r="B30" t="s">
        <v>29</v>
      </c>
      <c r="C30">
        <v>0.26731560597701065</v>
      </c>
      <c r="D30">
        <v>0.22621845641935157</v>
      </c>
      <c r="E30">
        <v>5.7705246309003477E-2</v>
      </c>
      <c r="F30">
        <v>7.1229535527699311E-2</v>
      </c>
      <c r="G30">
        <v>-1.8332999139039824E-2</v>
      </c>
      <c r="H30">
        <v>4.2571725934176109E-2</v>
      </c>
      <c r="I30">
        <v>5.4047886391225687E-2</v>
      </c>
      <c r="J30">
        <v>3.1045119458217942E-2</v>
      </c>
      <c r="K30">
        <v>-3.6151760587439734E-2</v>
      </c>
      <c r="L30">
        <v>3.030327501875844E-3</v>
      </c>
      <c r="M30">
        <v>1</v>
      </c>
    </row>
    <row r="31" spans="1:16" ht="15.6" x14ac:dyDescent="0.3">
      <c r="A31" s="64"/>
      <c r="B31" t="s">
        <v>30</v>
      </c>
      <c r="C31">
        <v>0.64507754853807409</v>
      </c>
      <c r="D31">
        <v>-1.0416787513384607E-3</v>
      </c>
      <c r="E31">
        <v>0.5844424023609669</v>
      </c>
      <c r="F31">
        <v>-0.33260799279443104</v>
      </c>
      <c r="G31">
        <v>-0.65734276695884986</v>
      </c>
      <c r="H31">
        <v>0.62704712094652848</v>
      </c>
      <c r="I31">
        <v>0.62926403855085644</v>
      </c>
      <c r="J31">
        <v>0.48007850812433933</v>
      </c>
      <c r="K31">
        <v>0.51706506138237807</v>
      </c>
      <c r="L31">
        <v>0.59606846539402025</v>
      </c>
      <c r="M31">
        <v>0.41055215074252688</v>
      </c>
      <c r="N31">
        <v>1</v>
      </c>
    </row>
    <row r="32" spans="1:16" ht="15.6" x14ac:dyDescent="0.3">
      <c r="A32" s="64"/>
      <c r="B32" t="s">
        <v>82</v>
      </c>
      <c r="C32">
        <v>-7.7088675427103015E-2</v>
      </c>
      <c r="D32">
        <v>0.24678022107424219</v>
      </c>
      <c r="E32">
        <v>-0.27060990000819757</v>
      </c>
      <c r="F32">
        <v>0.26726058475531245</v>
      </c>
      <c r="G32">
        <v>0.35504508507628929</v>
      </c>
      <c r="H32">
        <v>-0.31138404344073661</v>
      </c>
      <c r="I32">
        <v>-0.30015961382690842</v>
      </c>
      <c r="J32">
        <v>-0.24008644369159662</v>
      </c>
      <c r="K32">
        <v>-0.33431438677956576</v>
      </c>
      <c r="L32">
        <v>-0.33674313802783606</v>
      </c>
      <c r="M32">
        <v>0.85405761561921334</v>
      </c>
      <c r="N32">
        <v>-0.12368280138839713</v>
      </c>
      <c r="O32">
        <v>1</v>
      </c>
    </row>
    <row r="33" spans="1:16" ht="16.2" thickBot="1" x14ac:dyDescent="0.35">
      <c r="A33" s="64"/>
      <c r="B33" s="67" t="s">
        <v>96</v>
      </c>
      <c r="C33" s="10">
        <v>0.556066454006374</v>
      </c>
      <c r="D33" s="10">
        <v>-2.6475101424907058E-2</v>
      </c>
      <c r="E33" s="10">
        <v>0.51574453082052785</v>
      </c>
      <c r="F33" s="10">
        <v>-0.15128118021823594</v>
      </c>
      <c r="G33" s="10">
        <v>-0.57278288329317528</v>
      </c>
      <c r="H33" s="10">
        <v>0.55446767303124855</v>
      </c>
      <c r="I33" s="10">
        <v>0.57475688963485516</v>
      </c>
      <c r="J33" s="10">
        <v>0.46701011983935553</v>
      </c>
      <c r="K33" s="10">
        <v>0.37897847787161382</v>
      </c>
      <c r="L33" s="10">
        <v>0.52779581544777043</v>
      </c>
      <c r="M33" s="10">
        <v>0.40520541194274035</v>
      </c>
      <c r="N33" s="10">
        <v>0.82198709572888706</v>
      </c>
      <c r="O33" s="10">
        <v>-2.794992972887568E-2</v>
      </c>
      <c r="P33" s="10">
        <v>1</v>
      </c>
    </row>
    <row r="34" spans="1:16" ht="15.6" x14ac:dyDescent="0.3">
      <c r="A34" s="64"/>
    </row>
    <row r="35" spans="1:16" ht="15.6" x14ac:dyDescent="0.3">
      <c r="A35" s="64"/>
    </row>
    <row r="36" spans="1:16" ht="16.2" thickBot="1" x14ac:dyDescent="0.35">
      <c r="A36" s="64" t="s">
        <v>95</v>
      </c>
    </row>
    <row r="37" spans="1:16" ht="15.6" x14ac:dyDescent="0.3">
      <c r="A37" s="64"/>
      <c r="C37" s="12" t="s">
        <v>18</v>
      </c>
      <c r="D37" s="12" t="s">
        <v>20</v>
      </c>
      <c r="E37" s="12" t="s">
        <v>21</v>
      </c>
      <c r="F37" s="12" t="s">
        <v>6</v>
      </c>
      <c r="G37" s="12" t="s">
        <v>22</v>
      </c>
      <c r="H37" s="12" t="s">
        <v>24</v>
      </c>
      <c r="I37" s="12" t="s">
        <v>25</v>
      </c>
      <c r="J37" s="12" t="s">
        <v>26</v>
      </c>
      <c r="K37" s="12" t="s">
        <v>31</v>
      </c>
      <c r="L37" s="12" t="s">
        <v>28</v>
      </c>
      <c r="M37" s="12" t="s">
        <v>29</v>
      </c>
      <c r="N37" s="12" t="s">
        <v>30</v>
      </c>
      <c r="O37" s="12" t="s">
        <v>82</v>
      </c>
      <c r="P37" s="68" t="s">
        <v>96</v>
      </c>
    </row>
    <row r="38" spans="1:16" ht="15.6" x14ac:dyDescent="0.3">
      <c r="A38" s="64"/>
      <c r="B38" t="s">
        <v>18</v>
      </c>
      <c r="C38">
        <f t="shared" ref="C38:O38" si="0">C3-C20</f>
        <v>0</v>
      </c>
      <c r="D38">
        <f t="shared" si="0"/>
        <v>0</v>
      </c>
      <c r="E38">
        <f t="shared" si="0"/>
        <v>0</v>
      </c>
      <c r="F38">
        <f t="shared" si="0"/>
        <v>0</v>
      </c>
      <c r="G38">
        <f t="shared" si="0"/>
        <v>0</v>
      </c>
      <c r="H38">
        <f t="shared" si="0"/>
        <v>0</v>
      </c>
      <c r="I38">
        <f t="shared" si="0"/>
        <v>0</v>
      </c>
      <c r="J38">
        <f t="shared" si="0"/>
        <v>0</v>
      </c>
      <c r="K38">
        <f t="shared" si="0"/>
        <v>0</v>
      </c>
      <c r="L38">
        <f t="shared" si="0"/>
        <v>0</v>
      </c>
      <c r="M38">
        <f t="shared" si="0"/>
        <v>0</v>
      </c>
      <c r="N38">
        <f t="shared" si="0"/>
        <v>0</v>
      </c>
      <c r="O38">
        <f t="shared" si="0"/>
        <v>0</v>
      </c>
    </row>
    <row r="39" spans="1:16" ht="15.6" x14ac:dyDescent="0.3">
      <c r="A39" s="64"/>
      <c r="B39" t="s">
        <v>20</v>
      </c>
      <c r="C39">
        <f t="shared" ref="C39:O39" si="1">C4-C21</f>
        <v>0</v>
      </c>
      <c r="D39">
        <f t="shared" si="1"/>
        <v>0</v>
      </c>
      <c r="E39">
        <f t="shared" si="1"/>
        <v>0</v>
      </c>
      <c r="F39">
        <f t="shared" si="1"/>
        <v>0</v>
      </c>
      <c r="G39">
        <f t="shared" si="1"/>
        <v>0</v>
      </c>
      <c r="H39">
        <f t="shared" si="1"/>
        <v>0</v>
      </c>
      <c r="I39">
        <f t="shared" si="1"/>
        <v>0</v>
      </c>
      <c r="J39">
        <f t="shared" si="1"/>
        <v>0</v>
      </c>
      <c r="K39">
        <f t="shared" si="1"/>
        <v>0</v>
      </c>
      <c r="L39">
        <f t="shared" si="1"/>
        <v>0</v>
      </c>
      <c r="M39">
        <f t="shared" si="1"/>
        <v>0</v>
      </c>
      <c r="N39">
        <f t="shared" si="1"/>
        <v>0</v>
      </c>
      <c r="O39">
        <f t="shared" si="1"/>
        <v>0</v>
      </c>
    </row>
    <row r="40" spans="1:16" ht="15.6" x14ac:dyDescent="0.3">
      <c r="A40" s="64"/>
      <c r="B40" t="s">
        <v>21</v>
      </c>
      <c r="C40">
        <f t="shared" ref="C40:O40" si="2">C5-C22</f>
        <v>0</v>
      </c>
      <c r="D40">
        <f t="shared" si="2"/>
        <v>0</v>
      </c>
      <c r="E40">
        <f t="shared" si="2"/>
        <v>0</v>
      </c>
      <c r="F40">
        <f t="shared" si="2"/>
        <v>0</v>
      </c>
      <c r="G40">
        <f t="shared" si="2"/>
        <v>0</v>
      </c>
      <c r="H40">
        <f t="shared" si="2"/>
        <v>0</v>
      </c>
      <c r="I40">
        <f t="shared" si="2"/>
        <v>0</v>
      </c>
      <c r="J40">
        <f t="shared" si="2"/>
        <v>0</v>
      </c>
      <c r="K40">
        <f t="shared" si="2"/>
        <v>0</v>
      </c>
      <c r="L40">
        <f t="shared" si="2"/>
        <v>0</v>
      </c>
      <c r="M40">
        <f t="shared" si="2"/>
        <v>0</v>
      </c>
      <c r="N40">
        <f t="shared" si="2"/>
        <v>0</v>
      </c>
      <c r="O40">
        <f t="shared" si="2"/>
        <v>0</v>
      </c>
    </row>
    <row r="41" spans="1:16" ht="15.6" x14ac:dyDescent="0.3">
      <c r="A41" s="64"/>
      <c r="B41" t="s">
        <v>6</v>
      </c>
      <c r="C41">
        <f t="shared" ref="C41:O41" si="3">C6-C23</f>
        <v>0</v>
      </c>
      <c r="D41">
        <f t="shared" si="3"/>
        <v>0</v>
      </c>
      <c r="E41">
        <f t="shared" si="3"/>
        <v>0</v>
      </c>
      <c r="F41">
        <f t="shared" si="3"/>
        <v>0</v>
      </c>
      <c r="G41">
        <f t="shared" si="3"/>
        <v>0</v>
      </c>
      <c r="H41">
        <f t="shared" si="3"/>
        <v>0</v>
      </c>
      <c r="I41">
        <f t="shared" si="3"/>
        <v>0</v>
      </c>
      <c r="J41">
        <f t="shared" si="3"/>
        <v>0</v>
      </c>
      <c r="K41">
        <f t="shared" si="3"/>
        <v>0</v>
      </c>
      <c r="L41">
        <f t="shared" si="3"/>
        <v>0</v>
      </c>
      <c r="M41">
        <f t="shared" si="3"/>
        <v>0</v>
      </c>
      <c r="N41">
        <f t="shared" si="3"/>
        <v>0</v>
      </c>
      <c r="O41">
        <f t="shared" si="3"/>
        <v>0</v>
      </c>
    </row>
    <row r="42" spans="1:16" ht="15.6" x14ac:dyDescent="0.3">
      <c r="A42" s="64"/>
      <c r="B42" t="s">
        <v>22</v>
      </c>
      <c r="C42">
        <f t="shared" ref="C42:O42" si="4">C7-C24</f>
        <v>0</v>
      </c>
      <c r="D42">
        <f t="shared" si="4"/>
        <v>0</v>
      </c>
      <c r="E42">
        <f t="shared" si="4"/>
        <v>0</v>
      </c>
      <c r="F42">
        <f t="shared" si="4"/>
        <v>0</v>
      </c>
      <c r="G42">
        <f t="shared" si="4"/>
        <v>0</v>
      </c>
      <c r="H42">
        <f t="shared" si="4"/>
        <v>0</v>
      </c>
      <c r="I42">
        <f t="shared" si="4"/>
        <v>0</v>
      </c>
      <c r="J42">
        <f t="shared" si="4"/>
        <v>0</v>
      </c>
      <c r="K42">
        <f t="shared" si="4"/>
        <v>0</v>
      </c>
      <c r="L42">
        <f t="shared" si="4"/>
        <v>0</v>
      </c>
      <c r="M42">
        <f t="shared" si="4"/>
        <v>0</v>
      </c>
      <c r="N42">
        <f t="shared" si="4"/>
        <v>0</v>
      </c>
      <c r="O42">
        <f t="shared" si="4"/>
        <v>0</v>
      </c>
    </row>
    <row r="43" spans="1:16" ht="15.6" x14ac:dyDescent="0.3">
      <c r="A43" s="64"/>
      <c r="B43" t="s">
        <v>24</v>
      </c>
      <c r="C43">
        <f t="shared" ref="C43:O43" si="5">C8-C25</f>
        <v>0</v>
      </c>
      <c r="D43">
        <f t="shared" si="5"/>
        <v>0</v>
      </c>
      <c r="E43">
        <f t="shared" si="5"/>
        <v>0</v>
      </c>
      <c r="F43">
        <f t="shared" si="5"/>
        <v>0</v>
      </c>
      <c r="G43">
        <f t="shared" si="5"/>
        <v>0</v>
      </c>
      <c r="H43">
        <f t="shared" si="5"/>
        <v>0</v>
      </c>
      <c r="I43">
        <f t="shared" si="5"/>
        <v>0</v>
      </c>
      <c r="J43">
        <f t="shared" si="5"/>
        <v>0</v>
      </c>
      <c r="K43">
        <f t="shared" si="5"/>
        <v>0</v>
      </c>
      <c r="L43">
        <f t="shared" si="5"/>
        <v>0</v>
      </c>
      <c r="M43">
        <f t="shared" si="5"/>
        <v>0</v>
      </c>
      <c r="N43">
        <f t="shared" si="5"/>
        <v>0</v>
      </c>
      <c r="O43">
        <f t="shared" si="5"/>
        <v>0</v>
      </c>
    </row>
    <row r="44" spans="1:16" ht="15.6" x14ac:dyDescent="0.3">
      <c r="A44" s="64"/>
      <c r="B44" t="s">
        <v>25</v>
      </c>
      <c r="C44">
        <f t="shared" ref="C44:O44" si="6">C9-C26</f>
        <v>0</v>
      </c>
      <c r="D44">
        <f t="shared" si="6"/>
        <v>0</v>
      </c>
      <c r="E44">
        <f t="shared" si="6"/>
        <v>0</v>
      </c>
      <c r="F44">
        <f t="shared" si="6"/>
        <v>0</v>
      </c>
      <c r="G44">
        <f t="shared" si="6"/>
        <v>0</v>
      </c>
      <c r="H44">
        <f t="shared" si="6"/>
        <v>0</v>
      </c>
      <c r="I44">
        <f t="shared" si="6"/>
        <v>0</v>
      </c>
      <c r="J44">
        <f t="shared" si="6"/>
        <v>0</v>
      </c>
      <c r="K44">
        <f t="shared" si="6"/>
        <v>0</v>
      </c>
      <c r="L44">
        <f t="shared" si="6"/>
        <v>0</v>
      </c>
      <c r="M44">
        <f t="shared" si="6"/>
        <v>0</v>
      </c>
      <c r="N44">
        <f t="shared" si="6"/>
        <v>0</v>
      </c>
      <c r="O44">
        <f t="shared" si="6"/>
        <v>0</v>
      </c>
    </row>
    <row r="45" spans="1:16" ht="15.6" x14ac:dyDescent="0.3">
      <c r="A45" s="64"/>
      <c r="B45" t="s">
        <v>26</v>
      </c>
      <c r="C45">
        <f t="shared" ref="C45:O45" si="7">C10-C27</f>
        <v>0</v>
      </c>
      <c r="D45">
        <f t="shared" si="7"/>
        <v>0</v>
      </c>
      <c r="E45">
        <f t="shared" si="7"/>
        <v>0</v>
      </c>
      <c r="F45">
        <f t="shared" si="7"/>
        <v>0</v>
      </c>
      <c r="G45">
        <f t="shared" si="7"/>
        <v>0</v>
      </c>
      <c r="H45">
        <f t="shared" si="7"/>
        <v>0</v>
      </c>
      <c r="I45">
        <f t="shared" si="7"/>
        <v>0</v>
      </c>
      <c r="J45">
        <f t="shared" si="7"/>
        <v>0</v>
      </c>
      <c r="K45">
        <f t="shared" si="7"/>
        <v>0</v>
      </c>
      <c r="L45">
        <f t="shared" si="7"/>
        <v>0</v>
      </c>
      <c r="M45">
        <f t="shared" si="7"/>
        <v>0</v>
      </c>
      <c r="N45">
        <f t="shared" si="7"/>
        <v>0</v>
      </c>
      <c r="O45">
        <f t="shared" si="7"/>
        <v>0</v>
      </c>
    </row>
    <row r="46" spans="1:16" ht="15.6" x14ac:dyDescent="0.3">
      <c r="A46" s="64"/>
      <c r="B46" t="s">
        <v>31</v>
      </c>
      <c r="C46">
        <f t="shared" ref="C46:O46" si="8">C11-C28</f>
        <v>0</v>
      </c>
      <c r="D46">
        <f t="shared" si="8"/>
        <v>0</v>
      </c>
      <c r="E46">
        <f t="shared" si="8"/>
        <v>0</v>
      </c>
      <c r="F46">
        <f t="shared" si="8"/>
        <v>0</v>
      </c>
      <c r="G46">
        <f t="shared" si="8"/>
        <v>0</v>
      </c>
      <c r="H46">
        <f t="shared" si="8"/>
        <v>0</v>
      </c>
      <c r="I46">
        <f t="shared" si="8"/>
        <v>0</v>
      </c>
      <c r="J46">
        <f t="shared" si="8"/>
        <v>0</v>
      </c>
      <c r="K46">
        <f t="shared" si="8"/>
        <v>0</v>
      </c>
      <c r="L46">
        <f t="shared" si="8"/>
        <v>0</v>
      </c>
      <c r="M46">
        <f t="shared" si="8"/>
        <v>0</v>
      </c>
      <c r="N46">
        <f t="shared" si="8"/>
        <v>0</v>
      </c>
      <c r="O46">
        <f t="shared" si="8"/>
        <v>0</v>
      </c>
    </row>
    <row r="47" spans="1:16" ht="15.6" x14ac:dyDescent="0.3">
      <c r="A47" s="64"/>
      <c r="B47" t="s">
        <v>28</v>
      </c>
      <c r="C47">
        <f t="shared" ref="C47:O47" si="9">C12-C29</f>
        <v>0</v>
      </c>
      <c r="D47">
        <f t="shared" si="9"/>
        <v>0</v>
      </c>
      <c r="E47">
        <f t="shared" si="9"/>
        <v>0</v>
      </c>
      <c r="F47">
        <f t="shared" si="9"/>
        <v>0</v>
      </c>
      <c r="G47">
        <f t="shared" si="9"/>
        <v>0</v>
      </c>
      <c r="H47">
        <f t="shared" si="9"/>
        <v>0</v>
      </c>
      <c r="I47">
        <f t="shared" si="9"/>
        <v>0</v>
      </c>
      <c r="J47">
        <f t="shared" si="9"/>
        <v>0</v>
      </c>
      <c r="K47">
        <f t="shared" si="9"/>
        <v>0</v>
      </c>
      <c r="L47">
        <f t="shared" si="9"/>
        <v>0</v>
      </c>
      <c r="M47">
        <f t="shared" si="9"/>
        <v>0</v>
      </c>
      <c r="N47">
        <f t="shared" si="9"/>
        <v>0</v>
      </c>
      <c r="O47">
        <f t="shared" si="9"/>
        <v>0</v>
      </c>
    </row>
    <row r="48" spans="1:16" ht="15.6" x14ac:dyDescent="0.3">
      <c r="A48" s="64"/>
      <c r="B48" t="s">
        <v>29</v>
      </c>
      <c r="C48">
        <f t="shared" ref="C48:O48" si="10">C13-C30</f>
        <v>0</v>
      </c>
      <c r="D48">
        <f t="shared" si="10"/>
        <v>0</v>
      </c>
      <c r="E48">
        <f t="shared" si="10"/>
        <v>0</v>
      </c>
      <c r="F48">
        <f t="shared" si="10"/>
        <v>0</v>
      </c>
      <c r="G48">
        <f t="shared" si="10"/>
        <v>0</v>
      </c>
      <c r="H48">
        <f t="shared" si="10"/>
        <v>0</v>
      </c>
      <c r="I48">
        <f t="shared" si="10"/>
        <v>0</v>
      </c>
      <c r="J48">
        <f t="shared" si="10"/>
        <v>0</v>
      </c>
      <c r="K48">
        <f t="shared" si="10"/>
        <v>0</v>
      </c>
      <c r="L48">
        <f t="shared" si="10"/>
        <v>0</v>
      </c>
      <c r="M48">
        <f t="shared" si="10"/>
        <v>0</v>
      </c>
      <c r="N48">
        <f t="shared" si="10"/>
        <v>0</v>
      </c>
      <c r="O48">
        <f t="shared" si="10"/>
        <v>0</v>
      </c>
    </row>
    <row r="49" spans="1:15" ht="15.6" x14ac:dyDescent="0.3">
      <c r="A49" s="64"/>
      <c r="B49" t="s">
        <v>30</v>
      </c>
      <c r="C49">
        <f t="shared" ref="C49:O49" si="11">C14-C31</f>
        <v>0</v>
      </c>
      <c r="D49">
        <f t="shared" si="11"/>
        <v>0</v>
      </c>
      <c r="E49">
        <f t="shared" si="11"/>
        <v>0</v>
      </c>
      <c r="F49">
        <f t="shared" si="11"/>
        <v>0</v>
      </c>
      <c r="G49">
        <f t="shared" si="11"/>
        <v>0</v>
      </c>
      <c r="H49">
        <f t="shared" si="11"/>
        <v>0</v>
      </c>
      <c r="I49">
        <f t="shared" si="11"/>
        <v>0</v>
      </c>
      <c r="J49">
        <f t="shared" si="11"/>
        <v>0</v>
      </c>
      <c r="K49">
        <f t="shared" si="11"/>
        <v>0</v>
      </c>
      <c r="L49">
        <f t="shared" si="11"/>
        <v>0</v>
      </c>
      <c r="M49">
        <f t="shared" si="11"/>
        <v>0</v>
      </c>
      <c r="N49">
        <f t="shared" si="11"/>
        <v>0</v>
      </c>
      <c r="O49">
        <f t="shared" si="11"/>
        <v>0</v>
      </c>
    </row>
    <row r="50" spans="1:15" ht="15.6" x14ac:dyDescent="0.3">
      <c r="A50" s="64"/>
      <c r="B50" t="s">
        <v>82</v>
      </c>
      <c r="C50">
        <f t="shared" ref="C50:O50" si="12">C15-C32</f>
        <v>0</v>
      </c>
      <c r="D50">
        <f t="shared" si="12"/>
        <v>0</v>
      </c>
      <c r="E50">
        <f t="shared" si="12"/>
        <v>0</v>
      </c>
      <c r="F50">
        <f t="shared" si="12"/>
        <v>0</v>
      </c>
      <c r="G50">
        <f t="shared" si="12"/>
        <v>0</v>
      </c>
      <c r="H50">
        <f t="shared" si="12"/>
        <v>0</v>
      </c>
      <c r="I50">
        <f t="shared" si="12"/>
        <v>0</v>
      </c>
      <c r="J50">
        <f t="shared" si="12"/>
        <v>0</v>
      </c>
      <c r="K50">
        <f t="shared" si="12"/>
        <v>0</v>
      </c>
      <c r="L50">
        <f t="shared" si="12"/>
        <v>0</v>
      </c>
      <c r="M50">
        <f t="shared" si="12"/>
        <v>0</v>
      </c>
      <c r="N50">
        <f t="shared" si="12"/>
        <v>0</v>
      </c>
      <c r="O50">
        <f t="shared" si="12"/>
        <v>0</v>
      </c>
    </row>
    <row r="51" spans="1:15" ht="16.2" thickBot="1" x14ac:dyDescent="0.35">
      <c r="A51" s="64"/>
      <c r="B51" s="67" t="s">
        <v>96</v>
      </c>
      <c r="C51" s="8"/>
    </row>
    <row r="52" spans="1:15" ht="15.6" x14ac:dyDescent="0.3">
      <c r="A52" s="64"/>
      <c r="C52" s="8"/>
    </row>
    <row r="53" spans="1:15" ht="15.6" x14ac:dyDescent="0.3">
      <c r="A53" s="64"/>
    </row>
    <row r="54" spans="1:15" ht="15.6" x14ac:dyDescent="0.3">
      <c r="A54" s="64"/>
    </row>
  </sheetData>
  <mergeCells count="1">
    <mergeCell ref="T16:AH16"/>
  </mergeCells>
  <conditionalFormatting sqref="C3:O1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9:P3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0:P3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7:P3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:AI1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87"/>
  <sheetViews>
    <sheetView topLeftCell="D1" workbookViewId="0">
      <selection activeCell="N3" sqref="N3:N187"/>
    </sheetView>
  </sheetViews>
  <sheetFormatPr defaultRowHeight="14.4" x14ac:dyDescent="0.3"/>
  <sheetData>
    <row r="1" spans="1:17" x14ac:dyDescent="0.3">
      <c r="A1" t="s">
        <v>11</v>
      </c>
      <c r="B1" t="s">
        <v>3</v>
      </c>
      <c r="C1" t="s">
        <v>4</v>
      </c>
      <c r="D1" t="s">
        <v>5</v>
      </c>
      <c r="E1" t="s">
        <v>7</v>
      </c>
      <c r="F1" t="s">
        <v>9</v>
      </c>
      <c r="G1" t="s">
        <v>10</v>
      </c>
      <c r="H1" t="s">
        <v>12</v>
      </c>
      <c r="I1" t="s">
        <v>13</v>
      </c>
      <c r="J1" t="s">
        <v>15</v>
      </c>
      <c r="K1" t="s">
        <v>17</v>
      </c>
      <c r="L1" t="s">
        <v>16</v>
      </c>
      <c r="M1" t="s">
        <v>81</v>
      </c>
      <c r="N1" t="s">
        <v>97</v>
      </c>
      <c r="P1" t="s">
        <v>101</v>
      </c>
      <c r="Q1" t="s">
        <v>102</v>
      </c>
    </row>
    <row r="2" spans="1:17" x14ac:dyDescent="0.3">
      <c r="A2" t="s">
        <v>18</v>
      </c>
      <c r="B2" t="s">
        <v>20</v>
      </c>
      <c r="C2" t="s">
        <v>21</v>
      </c>
      <c r="D2" t="s">
        <v>6</v>
      </c>
      <c r="E2" t="s">
        <v>22</v>
      </c>
      <c r="F2" t="s">
        <v>24</v>
      </c>
      <c r="G2" t="s">
        <v>25</v>
      </c>
      <c r="H2" t="s">
        <v>26</v>
      </c>
      <c r="I2" t="s">
        <v>31</v>
      </c>
      <c r="J2" t="s">
        <v>28</v>
      </c>
      <c r="K2" t="s">
        <v>29</v>
      </c>
      <c r="L2" t="s">
        <v>30</v>
      </c>
      <c r="M2" t="s">
        <v>82</v>
      </c>
      <c r="N2" t="s">
        <v>96</v>
      </c>
      <c r="P2" t="s">
        <v>30</v>
      </c>
      <c r="Q2" t="s">
        <v>30</v>
      </c>
    </row>
    <row r="3" spans="1:17" x14ac:dyDescent="0.3">
      <c r="A3">
        <v>0.94827586206896552</v>
      </c>
      <c r="B3">
        <v>7.407407407407407E-2</v>
      </c>
      <c r="C3">
        <v>0.75921908893709322</v>
      </c>
      <c r="D3">
        <v>0.12015503875968993</v>
      </c>
      <c r="E3">
        <v>0.21604477611940298</v>
      </c>
      <c r="F3">
        <v>0.68467583497053053</v>
      </c>
      <c r="G3">
        <v>0.69891500904159132</v>
      </c>
      <c r="H3">
        <v>0.45833333333333331</v>
      </c>
      <c r="I3">
        <v>0.3967490622294893</v>
      </c>
      <c r="J3">
        <v>0.71250000000000002</v>
      </c>
      <c r="K3">
        <v>0.15884733555212255</v>
      </c>
      <c r="L3">
        <v>0.41907415832575068</v>
      </c>
      <c r="M3">
        <v>8.8756489000329647E-3</v>
      </c>
      <c r="N3">
        <v>1</v>
      </c>
      <c r="P3" t="s">
        <v>103</v>
      </c>
      <c r="Q3">
        <v>51.655000000000001</v>
      </c>
    </row>
    <row r="4" spans="1:17" x14ac:dyDescent="0.3">
      <c r="A4">
        <v>0.91379310344827591</v>
      </c>
      <c r="B4">
        <v>0.19753086419753088</v>
      </c>
      <c r="C4">
        <v>0.78091106290672452</v>
      </c>
      <c r="D4">
        <v>3.1007751937984492E-2</v>
      </c>
      <c r="E4">
        <v>0.17537313432835822</v>
      </c>
      <c r="F4">
        <v>0.59724950884086447</v>
      </c>
      <c r="G4">
        <v>0.40551537070524418</v>
      </c>
      <c r="H4">
        <v>0.48733333333333334</v>
      </c>
      <c r="I4">
        <v>0.41959219005482351</v>
      </c>
      <c r="J4">
        <v>0.9</v>
      </c>
      <c r="K4">
        <v>0.42389241982809567</v>
      </c>
      <c r="L4">
        <v>0.76383562979331854</v>
      </c>
      <c r="M4">
        <v>0.14020458083166557</v>
      </c>
      <c r="N4">
        <v>1</v>
      </c>
      <c r="P4" t="s">
        <v>103</v>
      </c>
      <c r="Q4">
        <v>94.090999999999994</v>
      </c>
    </row>
    <row r="5" spans="1:17" x14ac:dyDescent="0.3">
      <c r="A5">
        <v>0.84482758620689657</v>
      </c>
      <c r="B5">
        <v>3.7037037037037028E-2</v>
      </c>
      <c r="C5">
        <v>0.74837310195227769</v>
      </c>
      <c r="D5">
        <v>0.12403100775193798</v>
      </c>
      <c r="E5">
        <v>0.17537313432835822</v>
      </c>
      <c r="F5">
        <v>0.49115913555992141</v>
      </c>
      <c r="G5">
        <v>0.49728752260397835</v>
      </c>
      <c r="H5">
        <v>0.33333333333333331</v>
      </c>
      <c r="I5">
        <v>0.52899874963931914</v>
      </c>
      <c r="J5">
        <v>0.7</v>
      </c>
      <c r="K5">
        <v>0.10630834257828836</v>
      </c>
      <c r="L5">
        <v>0.19897146756791889</v>
      </c>
      <c r="M5">
        <v>5.446159508637944E-2</v>
      </c>
      <c r="N5">
        <v>0</v>
      </c>
      <c r="P5">
        <v>24.562999999999999</v>
      </c>
      <c r="Q5" t="s">
        <v>103</v>
      </c>
    </row>
    <row r="6" spans="1:17" x14ac:dyDescent="0.3">
      <c r="A6">
        <v>0.82758620689655171</v>
      </c>
      <c r="B6">
        <v>6.7901234567901231E-2</v>
      </c>
      <c r="C6">
        <v>0.72668112798264639</v>
      </c>
      <c r="D6">
        <v>0.13953488372093023</v>
      </c>
      <c r="E6">
        <v>0.16417910447761194</v>
      </c>
      <c r="F6">
        <v>0.49115913555992141</v>
      </c>
      <c r="G6">
        <v>0.45822784810126593</v>
      </c>
      <c r="H6">
        <v>0.52231666666666665</v>
      </c>
      <c r="I6">
        <v>0.24960325093777053</v>
      </c>
      <c r="J6">
        <v>0.67500000000000004</v>
      </c>
      <c r="K6">
        <v>0.14940884128745069</v>
      </c>
      <c r="L6">
        <v>0.35771968022877942</v>
      </c>
      <c r="M6">
        <v>2.7359235659021711E-2</v>
      </c>
      <c r="N6">
        <v>1</v>
      </c>
      <c r="P6" t="s">
        <v>103</v>
      </c>
      <c r="Q6">
        <v>44.103000000000002</v>
      </c>
    </row>
    <row r="7" spans="1:17" x14ac:dyDescent="0.3">
      <c r="A7">
        <v>0.87068965517241381</v>
      </c>
      <c r="B7">
        <v>4.3209876543209874E-2</v>
      </c>
      <c r="C7">
        <v>0.70498915401301521</v>
      </c>
      <c r="D7">
        <v>0.10077519379844961</v>
      </c>
      <c r="E7">
        <v>0.17537313432835822</v>
      </c>
      <c r="F7">
        <v>0.49115913555992141</v>
      </c>
      <c r="G7">
        <v>0.58363471971066905</v>
      </c>
      <c r="H7">
        <v>0.49606666666666671</v>
      </c>
      <c r="I7">
        <v>0.33663556795229393</v>
      </c>
      <c r="J7">
        <v>0.65</v>
      </c>
      <c r="K7">
        <v>0.16705201712822321</v>
      </c>
      <c r="L7">
        <v>0.36160308072273495</v>
      </c>
      <c r="M7">
        <v>4.5099031538266887E-2</v>
      </c>
      <c r="N7">
        <v>1</v>
      </c>
      <c r="P7" t="s">
        <v>103</v>
      </c>
      <c r="Q7">
        <v>44.581000000000003</v>
      </c>
    </row>
    <row r="8" spans="1:17" x14ac:dyDescent="0.3">
      <c r="A8">
        <v>0.87931034482758619</v>
      </c>
      <c r="B8">
        <v>4.3209876543209874E-2</v>
      </c>
      <c r="C8">
        <v>0.6073752711496746</v>
      </c>
      <c r="D8">
        <v>0.12403100775193798</v>
      </c>
      <c r="E8">
        <v>0.17537313432835822</v>
      </c>
      <c r="F8">
        <v>0.49115913555992141</v>
      </c>
      <c r="G8">
        <v>0.62870705244122971</v>
      </c>
      <c r="H8">
        <v>0.32796666666666668</v>
      </c>
      <c r="I8">
        <v>0.31442964316629801</v>
      </c>
      <c r="J8">
        <v>0.53749999999999998</v>
      </c>
      <c r="K8">
        <v>0.19075020649946259</v>
      </c>
      <c r="L8">
        <v>0.40441797738203561</v>
      </c>
      <c r="M8">
        <v>5.1183547652457972E-2</v>
      </c>
      <c r="N8">
        <v>1</v>
      </c>
      <c r="P8" t="s">
        <v>103</v>
      </c>
      <c r="Q8">
        <v>49.850999999999999</v>
      </c>
    </row>
    <row r="9" spans="1:17" x14ac:dyDescent="0.3">
      <c r="A9">
        <v>0.86206896551724133</v>
      </c>
      <c r="B9">
        <v>8.6419753086419762E-2</v>
      </c>
      <c r="C9">
        <v>0.70065075921908893</v>
      </c>
      <c r="D9">
        <v>0.12403100775193798</v>
      </c>
      <c r="E9">
        <v>0.17537313432835822</v>
      </c>
      <c r="F9">
        <v>0.49115913555992141</v>
      </c>
      <c r="G9">
        <v>0.39588607594936709</v>
      </c>
      <c r="H9">
        <v>0.41338333333333327</v>
      </c>
      <c r="I9">
        <v>0.44731653361546603</v>
      </c>
      <c r="J9">
        <v>0.64500000000000002</v>
      </c>
      <c r="K9">
        <v>0.12049891652583231</v>
      </c>
      <c r="L9">
        <v>0.20324483296503315</v>
      </c>
      <c r="M9">
        <v>6.8187220599173412E-2</v>
      </c>
      <c r="N9">
        <v>0</v>
      </c>
      <c r="P9">
        <v>25.088999999999999</v>
      </c>
      <c r="Q9" t="s">
        <v>103</v>
      </c>
    </row>
    <row r="10" spans="1:17" x14ac:dyDescent="0.3">
      <c r="A10">
        <v>0.22413793103448276</v>
      </c>
      <c r="B10">
        <v>9.8765432098765427E-2</v>
      </c>
      <c r="C10">
        <v>0.78091106290672452</v>
      </c>
      <c r="D10">
        <v>9.3023255813953487E-2</v>
      </c>
      <c r="E10">
        <v>0.17537313432835822</v>
      </c>
      <c r="F10">
        <v>0.50098231827111983</v>
      </c>
      <c r="G10">
        <v>0.42979204339963833</v>
      </c>
      <c r="H10">
        <v>0.47940000000000005</v>
      </c>
      <c r="I10">
        <v>0.31053428873713579</v>
      </c>
      <c r="J10">
        <v>0.625</v>
      </c>
      <c r="K10">
        <v>6.342557552005032E-2</v>
      </c>
      <c r="L10">
        <v>0.19914207721305083</v>
      </c>
      <c r="M10">
        <v>6.8091371259000255E-3</v>
      </c>
      <c r="N10">
        <v>0</v>
      </c>
      <c r="P10">
        <v>24.584</v>
      </c>
      <c r="Q10" t="s">
        <v>103</v>
      </c>
    </row>
    <row r="11" spans="1:17" x14ac:dyDescent="0.3">
      <c r="A11">
        <v>0.13793103448275862</v>
      </c>
      <c r="B11">
        <v>9.8765432098765427E-2</v>
      </c>
      <c r="C11">
        <v>0.68329718004338391</v>
      </c>
      <c r="D11">
        <v>0.10077519379844961</v>
      </c>
      <c r="E11">
        <v>0.17537313432835822</v>
      </c>
      <c r="F11">
        <v>0.49115913555992141</v>
      </c>
      <c r="G11">
        <v>0.53304701627486439</v>
      </c>
      <c r="H11">
        <v>0.50970000000000004</v>
      </c>
      <c r="I11">
        <v>0.26008704433971341</v>
      </c>
      <c r="J11">
        <v>0.53749999999999998</v>
      </c>
      <c r="K11">
        <v>7.0724769912941909E-2</v>
      </c>
      <c r="L11">
        <v>0.15076205641492268</v>
      </c>
      <c r="M11">
        <v>3.7737802212969573E-2</v>
      </c>
      <c r="N11">
        <v>0</v>
      </c>
      <c r="P11">
        <v>18.629000000000001</v>
      </c>
      <c r="Q11" t="s">
        <v>103</v>
      </c>
    </row>
    <row r="12" spans="1:17" x14ac:dyDescent="0.3">
      <c r="A12">
        <v>0.93965517241379315</v>
      </c>
      <c r="B12">
        <v>8.6419753086419762E-2</v>
      </c>
      <c r="C12">
        <v>0.74837310195227769</v>
      </c>
      <c r="D12">
        <v>0.12403100775193798</v>
      </c>
      <c r="E12">
        <v>0.17537313432835822</v>
      </c>
      <c r="F12">
        <v>0.49115913555992141</v>
      </c>
      <c r="G12">
        <v>0.26047468354430381</v>
      </c>
      <c r="H12">
        <v>0.64866666666666672</v>
      </c>
      <c r="I12">
        <v>0.46016879869193039</v>
      </c>
      <c r="J12">
        <v>0.7</v>
      </c>
      <c r="K12">
        <v>0.19788005405274636</v>
      </c>
      <c r="L12">
        <v>0.39492070713635774</v>
      </c>
      <c r="M12">
        <v>6.3574950350041806E-2</v>
      </c>
      <c r="N12">
        <v>1</v>
      </c>
      <c r="P12" t="s">
        <v>103</v>
      </c>
      <c r="Q12">
        <v>48.682000000000002</v>
      </c>
    </row>
    <row r="13" spans="1:17" x14ac:dyDescent="0.3">
      <c r="A13">
        <v>0.91379310344827591</v>
      </c>
      <c r="B13">
        <v>0.17901234567901236</v>
      </c>
      <c r="C13">
        <v>0.67245119305856837</v>
      </c>
      <c r="D13">
        <v>0.12403100775193798</v>
      </c>
      <c r="E13">
        <v>0.13432835820895522</v>
      </c>
      <c r="F13">
        <v>0.54518664047151277</v>
      </c>
      <c r="G13">
        <v>0.32188065099457508</v>
      </c>
      <c r="H13">
        <v>0.76</v>
      </c>
      <c r="I13">
        <v>0.32461286909685488</v>
      </c>
      <c r="J13">
        <v>0.52500000000000002</v>
      </c>
      <c r="K13">
        <v>9.3510559985069838E-2</v>
      </c>
      <c r="L13">
        <v>0.22150006499415054</v>
      </c>
      <c r="M13">
        <v>2.9632782007928658E-2</v>
      </c>
      <c r="N13">
        <v>0</v>
      </c>
      <c r="P13">
        <v>27.335999999999999</v>
      </c>
      <c r="Q13" t="s">
        <v>103</v>
      </c>
    </row>
    <row r="14" spans="1:17" x14ac:dyDescent="0.3">
      <c r="A14">
        <v>0.81034482758620685</v>
      </c>
      <c r="B14">
        <v>4.3209876543209874E-2</v>
      </c>
      <c r="C14">
        <v>0.68329718004338391</v>
      </c>
      <c r="D14">
        <v>0.12403100775193798</v>
      </c>
      <c r="E14">
        <v>0.17537313432835822</v>
      </c>
      <c r="F14">
        <v>0.49115913555992141</v>
      </c>
      <c r="G14">
        <v>0.54737793851717909</v>
      </c>
      <c r="H14">
        <v>0.40321666666666661</v>
      </c>
      <c r="I14">
        <v>0.33716456670193323</v>
      </c>
      <c r="J14">
        <v>0.625</v>
      </c>
      <c r="K14">
        <v>0.20810998558823834</v>
      </c>
      <c r="L14">
        <v>0.41716495515403618</v>
      </c>
      <c r="M14">
        <v>6.4426092490779283E-2</v>
      </c>
      <c r="N14">
        <v>1</v>
      </c>
      <c r="P14" t="s">
        <v>103</v>
      </c>
      <c r="Q14">
        <v>51.42</v>
      </c>
    </row>
    <row r="15" spans="1:17" x14ac:dyDescent="0.3">
      <c r="A15">
        <v>1</v>
      </c>
      <c r="B15">
        <v>1.2345679012345677E-2</v>
      </c>
      <c r="C15">
        <v>0.68329718004338391</v>
      </c>
      <c r="D15">
        <v>0.19379844961240308</v>
      </c>
      <c r="E15">
        <v>0.17537313432835822</v>
      </c>
      <c r="F15">
        <v>0.49115913555992141</v>
      </c>
      <c r="G15">
        <v>0.4992314647377939</v>
      </c>
      <c r="H15">
        <v>0.35206666666666664</v>
      </c>
      <c r="I15">
        <v>0.48003029720111573</v>
      </c>
      <c r="J15">
        <v>0.625</v>
      </c>
      <c r="K15">
        <v>0.1487176296972148</v>
      </c>
      <c r="L15">
        <v>0.24693715065644092</v>
      </c>
      <c r="M15">
        <v>7.8872505041675312E-2</v>
      </c>
      <c r="N15">
        <v>0</v>
      </c>
      <c r="P15">
        <v>30.466999999999999</v>
      </c>
      <c r="Q15" t="s">
        <v>103</v>
      </c>
    </row>
    <row r="16" spans="1:17" x14ac:dyDescent="0.3">
      <c r="A16">
        <v>0.35344827586206895</v>
      </c>
      <c r="B16">
        <v>7.407407407407407E-2</v>
      </c>
      <c r="C16">
        <v>0.61822125813449025</v>
      </c>
      <c r="D16">
        <v>0.12403100775193798</v>
      </c>
      <c r="E16">
        <v>0.17537313432835822</v>
      </c>
      <c r="F16">
        <v>0.59724950884086447</v>
      </c>
      <c r="G16">
        <v>0.45253164556962028</v>
      </c>
      <c r="H16">
        <v>0.64400000000000002</v>
      </c>
      <c r="I16">
        <v>0.30417428104260846</v>
      </c>
      <c r="J16">
        <v>0.5625</v>
      </c>
      <c r="K16">
        <v>0.28832163457716858</v>
      </c>
      <c r="L16">
        <v>0.41545885870271676</v>
      </c>
      <c r="M16">
        <v>0.15421392039137205</v>
      </c>
      <c r="N16">
        <v>1</v>
      </c>
      <c r="P16" t="s">
        <v>103</v>
      </c>
      <c r="Q16">
        <v>51.21</v>
      </c>
    </row>
    <row r="17" spans="1:17" x14ac:dyDescent="0.3">
      <c r="A17">
        <v>0.86206896551724133</v>
      </c>
      <c r="B17">
        <v>3.7037037037037028E-2</v>
      </c>
      <c r="C17">
        <v>0.69414316702819956</v>
      </c>
      <c r="D17">
        <v>0.10077519379844961</v>
      </c>
      <c r="E17">
        <v>0.17537313432835822</v>
      </c>
      <c r="F17">
        <v>0.49115913555992141</v>
      </c>
      <c r="G17">
        <v>0.41559674502712485</v>
      </c>
      <c r="H17">
        <v>0.5571666666666667</v>
      </c>
      <c r="I17">
        <v>0.31863758776570172</v>
      </c>
      <c r="J17">
        <v>0.63749999999999996</v>
      </c>
      <c r="K17">
        <v>0.11245666967343709</v>
      </c>
      <c r="L17">
        <v>0.27854055634992847</v>
      </c>
      <c r="M17">
        <v>2.3732296626870014E-2</v>
      </c>
      <c r="N17">
        <v>0</v>
      </c>
      <c r="P17">
        <v>34.356999999999999</v>
      </c>
      <c r="Q17" t="s">
        <v>103</v>
      </c>
    </row>
    <row r="18" spans="1:17" x14ac:dyDescent="0.3">
      <c r="A18">
        <v>0.51724137931034486</v>
      </c>
      <c r="B18">
        <v>0.14814814814814817</v>
      </c>
      <c r="C18">
        <v>0.69414316702819956</v>
      </c>
      <c r="D18">
        <v>0.10077519379844961</v>
      </c>
      <c r="E18">
        <v>0.19402985074626869</v>
      </c>
      <c r="F18">
        <v>0.49115913555992141</v>
      </c>
      <c r="G18">
        <v>0.42179023508137431</v>
      </c>
      <c r="H18">
        <v>0.47833333333333339</v>
      </c>
      <c r="I18">
        <v>0.34031451380205835</v>
      </c>
      <c r="J18">
        <v>0.63749999999999996</v>
      </c>
      <c r="K18">
        <v>0.18273906416862798</v>
      </c>
      <c r="L18">
        <v>0.45727447029767321</v>
      </c>
      <c r="M18">
        <v>1.7352564544945687E-2</v>
      </c>
      <c r="N18">
        <v>1</v>
      </c>
      <c r="P18" t="s">
        <v>103</v>
      </c>
      <c r="Q18">
        <v>56.356999999999999</v>
      </c>
    </row>
    <row r="19" spans="1:17" x14ac:dyDescent="0.3">
      <c r="A19">
        <v>0.89655172413793105</v>
      </c>
      <c r="B19">
        <v>0.19753086419753088</v>
      </c>
      <c r="C19">
        <v>0.69414316702819956</v>
      </c>
      <c r="D19">
        <v>0.10077519379844961</v>
      </c>
      <c r="E19">
        <v>0.21604477611940298</v>
      </c>
      <c r="F19">
        <v>0.49115913555992141</v>
      </c>
      <c r="G19">
        <v>0.63512658227848107</v>
      </c>
      <c r="H19">
        <v>0.40248333333333336</v>
      </c>
      <c r="I19">
        <v>0.30437866692315091</v>
      </c>
      <c r="J19">
        <v>0.63749999999999996</v>
      </c>
      <c r="K19">
        <v>0.14862777219048409</v>
      </c>
      <c r="L19">
        <v>0.37950084492395686</v>
      </c>
      <c r="M19">
        <v>1.621387438368874E-2</v>
      </c>
      <c r="N19">
        <v>1</v>
      </c>
      <c r="P19" t="s">
        <v>103</v>
      </c>
      <c r="Q19">
        <v>46.783999999999999</v>
      </c>
    </row>
    <row r="20" spans="1:17" x14ac:dyDescent="0.3">
      <c r="A20">
        <v>0.36206896551724138</v>
      </c>
      <c r="B20">
        <v>0.11111111111111112</v>
      </c>
      <c r="C20">
        <v>0.56399132321041212</v>
      </c>
      <c r="D20">
        <v>4.651162790697675E-2</v>
      </c>
      <c r="E20">
        <v>0.17537313432835822</v>
      </c>
      <c r="F20">
        <v>1</v>
      </c>
      <c r="G20">
        <v>1</v>
      </c>
      <c r="H20">
        <v>0.40833333333333333</v>
      </c>
      <c r="I20">
        <v>0.52899874963931914</v>
      </c>
      <c r="J20">
        <v>0.35</v>
      </c>
      <c r="K20">
        <v>0.18817544332583372</v>
      </c>
      <c r="L20">
        <v>0.46894904458598724</v>
      </c>
      <c r="M20">
        <v>1.7873984955487591E-2</v>
      </c>
      <c r="N20">
        <v>1</v>
      </c>
      <c r="P20" t="s">
        <v>103</v>
      </c>
      <c r="Q20">
        <v>57.793999999999997</v>
      </c>
    </row>
    <row r="21" spans="1:17" x14ac:dyDescent="0.3">
      <c r="A21">
        <v>0.91379310344827591</v>
      </c>
      <c r="B21">
        <v>0.13580246913580249</v>
      </c>
      <c r="C21">
        <v>0.67678958785249455</v>
      </c>
      <c r="D21">
        <v>0.13953488372093023</v>
      </c>
      <c r="E21">
        <v>0.17537313432835822</v>
      </c>
      <c r="F21">
        <v>0.49115913555992141</v>
      </c>
      <c r="G21">
        <v>0.61745027124773966</v>
      </c>
      <c r="H21">
        <v>0.39440000000000003</v>
      </c>
      <c r="I21">
        <v>0.32152303549100708</v>
      </c>
      <c r="J21">
        <v>0.61750000000000005</v>
      </c>
      <c r="K21">
        <v>0.28550494734695714</v>
      </c>
      <c r="L21">
        <v>0.55420512153906143</v>
      </c>
      <c r="M21">
        <v>8.5612630642650692E-2</v>
      </c>
      <c r="N21">
        <v>1</v>
      </c>
      <c r="P21" t="s">
        <v>103</v>
      </c>
      <c r="Q21">
        <v>68.287999999999997</v>
      </c>
    </row>
    <row r="22" spans="1:17" x14ac:dyDescent="0.3">
      <c r="A22">
        <v>0.89655172413793105</v>
      </c>
      <c r="B22">
        <v>9.2592592592592587E-2</v>
      </c>
      <c r="C22">
        <v>0.67245119305856837</v>
      </c>
      <c r="D22">
        <v>0.11627906976744186</v>
      </c>
      <c r="E22">
        <v>0.17537313432835822</v>
      </c>
      <c r="F22">
        <v>0.58644400785854622</v>
      </c>
      <c r="G22">
        <v>0.63969258589511757</v>
      </c>
      <c r="H22">
        <v>0.35</v>
      </c>
      <c r="I22">
        <v>0.44483985765124556</v>
      </c>
      <c r="J22">
        <v>0.4</v>
      </c>
      <c r="K22">
        <v>0.13057332545352124</v>
      </c>
      <c r="L22">
        <v>6.2914337709606138E-2</v>
      </c>
      <c r="M22">
        <v>0.14558747977578923</v>
      </c>
      <c r="N22">
        <v>0</v>
      </c>
      <c r="P22">
        <v>7.8159999999999998</v>
      </c>
      <c r="Q22" t="s">
        <v>103</v>
      </c>
    </row>
    <row r="23" spans="1:17" x14ac:dyDescent="0.3">
      <c r="A23">
        <v>0.8603448275862069</v>
      </c>
      <c r="B23">
        <v>0.19753086419753088</v>
      </c>
      <c r="C23">
        <v>0.74837310195227769</v>
      </c>
      <c r="D23">
        <v>0.18604651162790697</v>
      </c>
      <c r="E23">
        <v>0.16417910447761194</v>
      </c>
      <c r="F23">
        <v>0.49115913555992141</v>
      </c>
      <c r="G23">
        <v>0.50650994575045205</v>
      </c>
      <c r="H23">
        <v>0.43173333333333341</v>
      </c>
      <c r="I23">
        <v>0.27512744060786765</v>
      </c>
      <c r="J23">
        <v>0.7</v>
      </c>
      <c r="K23">
        <v>0.25194316858305082</v>
      </c>
      <c r="L23">
        <v>0.62446379825815679</v>
      </c>
      <c r="M23">
        <v>1.5224709193101904E-2</v>
      </c>
      <c r="N23">
        <v>1</v>
      </c>
      <c r="P23" t="s">
        <v>103</v>
      </c>
      <c r="Q23">
        <v>76.936000000000007</v>
      </c>
    </row>
    <row r="24" spans="1:17" x14ac:dyDescent="0.3">
      <c r="A24">
        <v>0.92241379310344829</v>
      </c>
      <c r="B24">
        <v>0.14814814814814817</v>
      </c>
      <c r="C24">
        <v>0.70498915401301521</v>
      </c>
      <c r="D24">
        <v>0.10077519379844961</v>
      </c>
      <c r="E24">
        <v>0.17537313432835822</v>
      </c>
      <c r="F24">
        <v>0.49115913555992141</v>
      </c>
      <c r="G24">
        <v>0.56179927667269447</v>
      </c>
      <c r="H24">
        <v>0.31523333333333337</v>
      </c>
      <c r="I24">
        <v>0.27843368279311348</v>
      </c>
      <c r="J24">
        <v>0.65</v>
      </c>
      <c r="K24">
        <v>0.21368115100554008</v>
      </c>
      <c r="L24">
        <v>0.54494345508904196</v>
      </c>
      <c r="M24">
        <v>1.0305721055416292E-2</v>
      </c>
      <c r="N24">
        <v>1</v>
      </c>
      <c r="P24" t="s">
        <v>103</v>
      </c>
      <c r="Q24">
        <v>67.147999999999996</v>
      </c>
    </row>
    <row r="25" spans="1:17" x14ac:dyDescent="0.3">
      <c r="A25">
        <v>0.72413793103448276</v>
      </c>
      <c r="B25">
        <v>0.10493827160493828</v>
      </c>
      <c r="C25">
        <v>0.68329718004338391</v>
      </c>
      <c r="D25">
        <v>0.1705426356589147</v>
      </c>
      <c r="E25">
        <v>0.18283582089552242</v>
      </c>
      <c r="F25">
        <v>0.49115913555992141</v>
      </c>
      <c r="G25">
        <v>0.43820072332730564</v>
      </c>
      <c r="H25">
        <v>0.56356666666666666</v>
      </c>
      <c r="I25">
        <v>0.30422237183803019</v>
      </c>
      <c r="J25">
        <v>0.625</v>
      </c>
      <c r="K25">
        <v>0.1919425464926196</v>
      </c>
      <c r="L25">
        <v>0.42360750032497074</v>
      </c>
      <c r="M25">
        <v>4.3450422887288842E-2</v>
      </c>
      <c r="N25">
        <v>1</v>
      </c>
      <c r="P25" t="s">
        <v>103</v>
      </c>
      <c r="Q25">
        <v>52.213000000000001</v>
      </c>
    </row>
    <row r="26" spans="1:17" x14ac:dyDescent="0.3">
      <c r="A26">
        <v>0.81034482758620685</v>
      </c>
      <c r="B26">
        <v>0.10493827160493828</v>
      </c>
      <c r="C26">
        <v>0.68329718004338391</v>
      </c>
      <c r="D26">
        <v>0.12403100775193798</v>
      </c>
      <c r="E26">
        <v>0.17537313432835822</v>
      </c>
      <c r="F26">
        <v>0.49115913555992141</v>
      </c>
      <c r="G26">
        <v>0.50949367088607589</v>
      </c>
      <c r="H26">
        <v>0.42461666666666659</v>
      </c>
      <c r="I26">
        <v>0.33385832451668751</v>
      </c>
      <c r="J26">
        <v>0.625</v>
      </c>
      <c r="K26">
        <v>0.14674767666504232</v>
      </c>
      <c r="L26">
        <v>0.21041043806057458</v>
      </c>
      <c r="M26">
        <v>9.392468542246557E-2</v>
      </c>
      <c r="N26">
        <v>0</v>
      </c>
      <c r="P26">
        <v>25.971</v>
      </c>
      <c r="Q26" t="s">
        <v>103</v>
      </c>
    </row>
    <row r="27" spans="1:17" x14ac:dyDescent="0.3">
      <c r="A27">
        <v>0.89655172413793105</v>
      </c>
      <c r="B27">
        <v>7.407407407407407E-2</v>
      </c>
      <c r="C27">
        <v>0.71583514099783085</v>
      </c>
      <c r="D27">
        <v>0.10077519379844961</v>
      </c>
      <c r="E27">
        <v>0.17537313432835822</v>
      </c>
      <c r="F27">
        <v>0.49115913555992141</v>
      </c>
      <c r="G27">
        <v>0.51455696202531642</v>
      </c>
      <c r="H27">
        <v>0.41288333333333338</v>
      </c>
      <c r="I27">
        <v>0.36916899105511208</v>
      </c>
      <c r="J27">
        <v>0.66249999999999998</v>
      </c>
      <c r="K27">
        <v>0.25280718307084576</v>
      </c>
      <c r="L27">
        <v>0.51351878330950218</v>
      </c>
      <c r="M27">
        <v>6.8539946171010571E-2</v>
      </c>
      <c r="N27">
        <v>1</v>
      </c>
      <c r="P27" t="s">
        <v>103</v>
      </c>
      <c r="Q27">
        <v>63.28</v>
      </c>
    </row>
    <row r="28" spans="1:17" x14ac:dyDescent="0.3">
      <c r="A28">
        <v>0.83620689655172409</v>
      </c>
      <c r="B28">
        <v>0.11111111111111112</v>
      </c>
      <c r="C28">
        <v>0.74837310195227769</v>
      </c>
      <c r="D28">
        <v>0.20310077519379841</v>
      </c>
      <c r="E28">
        <v>0.17537313432835822</v>
      </c>
      <c r="F28">
        <v>0.50098231827111983</v>
      </c>
      <c r="G28">
        <v>0.42260397830018087</v>
      </c>
      <c r="H28">
        <v>0.47999999999999993</v>
      </c>
      <c r="I28">
        <v>0.30970472251611048</v>
      </c>
      <c r="J28">
        <v>0.7</v>
      </c>
      <c r="K28">
        <v>0.32938651515308609</v>
      </c>
      <c r="L28">
        <v>0.61827310542051217</v>
      </c>
      <c r="M28">
        <v>0.10405787766557016</v>
      </c>
      <c r="N28">
        <v>1</v>
      </c>
      <c r="P28" t="s">
        <v>103</v>
      </c>
      <c r="Q28">
        <v>76.174000000000007</v>
      </c>
    </row>
    <row r="29" spans="1:17" x14ac:dyDescent="0.3">
      <c r="A29">
        <v>0.91379310344827591</v>
      </c>
      <c r="B29">
        <v>0.2592592592592593</v>
      </c>
      <c r="C29">
        <v>0.73752711496746204</v>
      </c>
      <c r="D29">
        <v>3.1007751937984492E-2</v>
      </c>
      <c r="E29">
        <v>0.17537313432835822</v>
      </c>
      <c r="F29">
        <v>0.68565815324165025</v>
      </c>
      <c r="G29">
        <v>0.54701627486437621</v>
      </c>
      <c r="H29">
        <v>0.33333333333333331</v>
      </c>
      <c r="I29">
        <v>0.53275059077809583</v>
      </c>
      <c r="J29">
        <v>0.65</v>
      </c>
      <c r="K29">
        <v>0.27452505123605914</v>
      </c>
      <c r="L29">
        <v>0.67918074873261414</v>
      </c>
      <c r="M29">
        <v>1.445408049810981E-2</v>
      </c>
      <c r="N29">
        <v>1</v>
      </c>
      <c r="P29" t="s">
        <v>103</v>
      </c>
      <c r="Q29">
        <v>83.671000000000006</v>
      </c>
    </row>
    <row r="30" spans="1:17" x14ac:dyDescent="0.3">
      <c r="A30">
        <v>0.81034482758620685</v>
      </c>
      <c r="B30">
        <v>0.29012345679012347</v>
      </c>
      <c r="C30">
        <v>0.71583514099783085</v>
      </c>
      <c r="D30">
        <v>6.9767441860465129E-2</v>
      </c>
      <c r="E30">
        <v>0.17537313432835822</v>
      </c>
      <c r="F30">
        <v>0.68565815324165025</v>
      </c>
      <c r="G30">
        <v>0.50135623869801094</v>
      </c>
      <c r="H30">
        <v>0.55266666666666664</v>
      </c>
      <c r="I30">
        <v>0.42800807925363082</v>
      </c>
      <c r="J30">
        <v>0.66249999999999998</v>
      </c>
      <c r="K30">
        <v>0.33747714681679786</v>
      </c>
      <c r="L30">
        <v>0.83030839724424799</v>
      </c>
      <c r="M30">
        <v>1.2970332712229622E-2</v>
      </c>
      <c r="N30">
        <v>1</v>
      </c>
      <c r="P30" t="s">
        <v>103</v>
      </c>
      <c r="Q30">
        <v>102.273</v>
      </c>
    </row>
    <row r="31" spans="1:17" x14ac:dyDescent="0.3">
      <c r="A31">
        <v>0.91379310344827591</v>
      </c>
      <c r="B31">
        <v>0.27160493827160498</v>
      </c>
      <c r="C31">
        <v>0.74837310195227769</v>
      </c>
      <c r="D31">
        <v>6.2015503875968991E-2</v>
      </c>
      <c r="E31">
        <v>0.17537313432835822</v>
      </c>
      <c r="F31">
        <v>0.68565815324165025</v>
      </c>
      <c r="G31">
        <v>0.60849909584086803</v>
      </c>
      <c r="H31">
        <v>0.58833333333333326</v>
      </c>
      <c r="I31">
        <v>0.29696066172934499</v>
      </c>
      <c r="J31">
        <v>0.7</v>
      </c>
      <c r="K31">
        <v>0.27033285294127812</v>
      </c>
      <c r="L31">
        <v>0.55888470037696614</v>
      </c>
      <c r="M31">
        <v>6.6573117710657673E-2</v>
      </c>
      <c r="N31">
        <v>1</v>
      </c>
      <c r="P31" t="s">
        <v>103</v>
      </c>
      <c r="Q31">
        <v>68.864000000000004</v>
      </c>
    </row>
    <row r="32" spans="1:17" x14ac:dyDescent="0.3">
      <c r="A32">
        <v>0.75862068965517238</v>
      </c>
      <c r="B32">
        <v>0.23456790123456789</v>
      </c>
      <c r="C32">
        <v>0.6290672451193059</v>
      </c>
      <c r="D32">
        <v>0.21705426356589144</v>
      </c>
      <c r="E32">
        <v>0.21641791044776121</v>
      </c>
      <c r="F32">
        <v>0.50098231827111983</v>
      </c>
      <c r="G32">
        <v>0.50293851717902349</v>
      </c>
      <c r="H32">
        <v>0.16171666666666665</v>
      </c>
      <c r="I32">
        <v>0.64945416947196311</v>
      </c>
      <c r="J32">
        <v>0.5625</v>
      </c>
      <c r="K32">
        <v>0.25059530598209073</v>
      </c>
      <c r="L32">
        <v>0.63377421032107106</v>
      </c>
      <c r="M32">
        <v>9.3357257328640919E-3</v>
      </c>
      <c r="N32">
        <v>1</v>
      </c>
      <c r="P32" t="s">
        <v>103</v>
      </c>
      <c r="Q32">
        <v>78.081999999999994</v>
      </c>
    </row>
    <row r="33" spans="1:17" x14ac:dyDescent="0.3">
      <c r="A33">
        <v>0.89655172413793105</v>
      </c>
      <c r="B33">
        <v>0.2592592592592593</v>
      </c>
      <c r="C33">
        <v>0.58568329718004342</v>
      </c>
      <c r="D33">
        <v>5.3488372093023248E-2</v>
      </c>
      <c r="E33">
        <v>0.21641791044776121</v>
      </c>
      <c r="F33">
        <v>0.37622789783889976</v>
      </c>
      <c r="G33">
        <v>0.56509945750452084</v>
      </c>
      <c r="H33">
        <v>0.46666666666666667</v>
      </c>
      <c r="I33">
        <v>0.46197156426002406</v>
      </c>
      <c r="J33">
        <v>0.55000000000000004</v>
      </c>
      <c r="K33">
        <v>0.25268622104255445</v>
      </c>
      <c r="L33">
        <v>0.61070128688418046</v>
      </c>
      <c r="M33">
        <v>2.2543764808723069E-2</v>
      </c>
      <c r="N33">
        <v>1</v>
      </c>
      <c r="P33" t="s">
        <v>103</v>
      </c>
      <c r="Q33">
        <v>75.242000000000004</v>
      </c>
    </row>
    <row r="34" spans="1:17" x14ac:dyDescent="0.3">
      <c r="A34">
        <v>0.91379310344827591</v>
      </c>
      <c r="B34">
        <v>7.407407407407407E-2</v>
      </c>
      <c r="C34">
        <v>0.71583514099783085</v>
      </c>
      <c r="D34">
        <v>0.1705426356589147</v>
      </c>
      <c r="E34">
        <v>0.18283582089552242</v>
      </c>
      <c r="F34">
        <v>0.49115913555992141</v>
      </c>
      <c r="G34">
        <v>0.47802893309222427</v>
      </c>
      <c r="H34">
        <v>0.41521666666666662</v>
      </c>
      <c r="I34">
        <v>0.32818361065692025</v>
      </c>
      <c r="J34">
        <v>0.66249999999999998</v>
      </c>
      <c r="K34">
        <v>0.15648684797146678</v>
      </c>
      <c r="L34">
        <v>0.34980664240218379</v>
      </c>
      <c r="M34">
        <v>3.894550389915117E-2</v>
      </c>
      <c r="N34">
        <v>1</v>
      </c>
      <c r="P34" t="s">
        <v>103</v>
      </c>
      <c r="Q34">
        <v>43.128999999999998</v>
      </c>
    </row>
    <row r="35" spans="1:17" x14ac:dyDescent="0.3">
      <c r="A35">
        <v>0.91379310344827591</v>
      </c>
      <c r="B35">
        <v>0</v>
      </c>
      <c r="C35">
        <v>0.71583514099783085</v>
      </c>
      <c r="D35">
        <v>9.3023255813953487E-2</v>
      </c>
      <c r="E35">
        <v>0.17537313432835822</v>
      </c>
      <c r="F35">
        <v>0.49115913555992141</v>
      </c>
      <c r="G35">
        <v>0.40361663652802898</v>
      </c>
      <c r="H35">
        <v>0.49393333333333339</v>
      </c>
      <c r="I35">
        <v>0.38357218428392814</v>
      </c>
      <c r="J35">
        <v>0.66249999999999998</v>
      </c>
      <c r="K35">
        <v>0.18514102444469793</v>
      </c>
      <c r="L35">
        <v>0.40484856362927341</v>
      </c>
      <c r="M35">
        <v>4.4757807887250506E-2</v>
      </c>
      <c r="N35">
        <v>1</v>
      </c>
      <c r="P35" t="s">
        <v>103</v>
      </c>
      <c r="Q35">
        <v>49.904000000000003</v>
      </c>
    </row>
    <row r="36" spans="1:17" x14ac:dyDescent="0.3">
      <c r="A36">
        <v>0.84482758620689657</v>
      </c>
      <c r="B36">
        <v>0.27160493827160498</v>
      </c>
      <c r="C36">
        <v>0.78091106290672452</v>
      </c>
      <c r="D36">
        <v>4.651162790697675E-2</v>
      </c>
      <c r="E36">
        <v>0.17537313432835822</v>
      </c>
      <c r="F36">
        <v>0.69548133595284867</v>
      </c>
      <c r="G36">
        <v>0.5583182640144666</v>
      </c>
      <c r="H36">
        <v>0.48366666666666674</v>
      </c>
      <c r="I36">
        <v>0.42560353948254304</v>
      </c>
      <c r="J36">
        <v>0.73750000000000004</v>
      </c>
      <c r="K36">
        <v>0.18933322273947892</v>
      </c>
      <c r="L36">
        <v>0.36701384375406215</v>
      </c>
      <c r="M36">
        <v>6.7263232959904301E-2</v>
      </c>
      <c r="N36">
        <v>1</v>
      </c>
      <c r="P36" t="s">
        <v>103</v>
      </c>
      <c r="Q36">
        <v>45.247</v>
      </c>
    </row>
    <row r="37" spans="1:17" x14ac:dyDescent="0.3">
      <c r="A37">
        <v>0.90517241379310343</v>
      </c>
      <c r="B37">
        <v>0.20370370370370369</v>
      </c>
      <c r="C37">
        <v>0.73752711496746204</v>
      </c>
      <c r="D37">
        <v>4.651162790697675E-2</v>
      </c>
      <c r="E37">
        <v>0.21604477611940298</v>
      </c>
      <c r="F37">
        <v>0.7053045186640472</v>
      </c>
      <c r="G37">
        <v>0.62206148282097651</v>
      </c>
      <c r="H37">
        <v>0.34166666666666667</v>
      </c>
      <c r="I37">
        <v>0.60113494277195345</v>
      </c>
      <c r="J37">
        <v>0.47499999999999998</v>
      </c>
      <c r="K37">
        <v>0.24804819127207123</v>
      </c>
      <c r="L37">
        <v>0.50861984921357073</v>
      </c>
      <c r="M37">
        <v>6.5572450599250057E-2</v>
      </c>
      <c r="N37">
        <v>1</v>
      </c>
      <c r="P37" t="s">
        <v>103</v>
      </c>
      <c r="Q37">
        <v>62.677</v>
      </c>
    </row>
    <row r="38" spans="1:17" x14ac:dyDescent="0.3">
      <c r="A38">
        <v>0.90517241379310343</v>
      </c>
      <c r="B38">
        <v>0.40740740740740744</v>
      </c>
      <c r="C38">
        <v>0.83514099783080264</v>
      </c>
      <c r="D38">
        <v>4.651162790697675E-2</v>
      </c>
      <c r="E38">
        <v>0.21604477611940298</v>
      </c>
      <c r="F38">
        <v>0.68467583497053053</v>
      </c>
      <c r="G38">
        <v>0.79927667269439429</v>
      </c>
      <c r="H38">
        <v>0.31666666666666665</v>
      </c>
      <c r="I38">
        <v>0.50495335192844093</v>
      </c>
      <c r="J38">
        <v>0.8</v>
      </c>
      <c r="K38">
        <v>0.30492108091668479</v>
      </c>
      <c r="L38">
        <v>0.62103535681788635</v>
      </c>
      <c r="M38">
        <v>7.5613627475788467E-2</v>
      </c>
      <c r="N38">
        <v>1</v>
      </c>
      <c r="P38" t="s">
        <v>103</v>
      </c>
      <c r="Q38">
        <v>76.513999999999996</v>
      </c>
    </row>
    <row r="39" spans="1:17" x14ac:dyDescent="0.3">
      <c r="A39">
        <v>0.91379310344827591</v>
      </c>
      <c r="B39">
        <v>0.2592592592592593</v>
      </c>
      <c r="C39">
        <v>0.53145336225596529</v>
      </c>
      <c r="D39">
        <v>4.651162790697675E-2</v>
      </c>
      <c r="E39">
        <v>0.17537313432835822</v>
      </c>
      <c r="F39">
        <v>0.44990176817288802</v>
      </c>
      <c r="G39">
        <v>0.43716094032549724</v>
      </c>
      <c r="H39">
        <v>0.63933333333333331</v>
      </c>
      <c r="I39">
        <v>0.23925170722323755</v>
      </c>
      <c r="J39">
        <v>0.46250000000000002</v>
      </c>
      <c r="K39">
        <v>0.23187729611850133</v>
      </c>
      <c r="L39">
        <v>0.47509911607955285</v>
      </c>
      <c r="M39">
        <v>6.345226319462019E-2</v>
      </c>
      <c r="N39">
        <v>1</v>
      </c>
      <c r="P39" t="s">
        <v>103</v>
      </c>
      <c r="Q39">
        <v>58.551000000000002</v>
      </c>
    </row>
    <row r="40" spans="1:17" x14ac:dyDescent="0.3">
      <c r="A40">
        <v>0.98275862068965514</v>
      </c>
      <c r="B40">
        <v>8.6419753086419762E-2</v>
      </c>
      <c r="C40">
        <v>0.78091106290672452</v>
      </c>
      <c r="D40">
        <v>0.10852713178294575</v>
      </c>
      <c r="E40">
        <v>0.17537313432835822</v>
      </c>
      <c r="F40">
        <v>0.68762278978389002</v>
      </c>
      <c r="G40">
        <v>0.50750452079566</v>
      </c>
      <c r="H40">
        <v>0.26018333333333332</v>
      </c>
      <c r="I40">
        <v>1</v>
      </c>
      <c r="J40">
        <v>0.75</v>
      </c>
      <c r="K40">
        <v>0.26932022796158245</v>
      </c>
      <c r="L40">
        <v>0.63095508904198627</v>
      </c>
      <c r="M40">
        <v>3.1438583576790642E-2</v>
      </c>
      <c r="N40">
        <v>1</v>
      </c>
      <c r="P40" t="s">
        <v>103</v>
      </c>
      <c r="Q40">
        <v>77.734999999999999</v>
      </c>
    </row>
    <row r="41" spans="1:17" x14ac:dyDescent="0.3">
      <c r="A41">
        <v>0.93965517241379315</v>
      </c>
      <c r="B41">
        <v>0.2592592592592593</v>
      </c>
      <c r="C41">
        <v>0.86550976138828628</v>
      </c>
      <c r="D41">
        <v>0.13953488372093023</v>
      </c>
      <c r="E41">
        <v>0.16417910447761194</v>
      </c>
      <c r="F41">
        <v>0.68762278978389002</v>
      </c>
      <c r="G41">
        <v>0.4766274864376131</v>
      </c>
      <c r="H41">
        <v>0.32808333333333334</v>
      </c>
      <c r="I41">
        <v>0.29096133500048094</v>
      </c>
      <c r="J41">
        <v>0.83499999999999996</v>
      </c>
      <c r="K41">
        <v>0.3164608584156739</v>
      </c>
      <c r="L41">
        <v>0.73371896529312364</v>
      </c>
      <c r="M41">
        <v>3.5238051421254003E-2</v>
      </c>
      <c r="N41">
        <v>1</v>
      </c>
      <c r="P41" t="s">
        <v>103</v>
      </c>
      <c r="Q41">
        <v>90.384</v>
      </c>
    </row>
    <row r="42" spans="1:17" x14ac:dyDescent="0.3">
      <c r="A42">
        <v>0.87931034482758619</v>
      </c>
      <c r="B42">
        <v>0.2592592592592593</v>
      </c>
      <c r="C42">
        <v>0.67678958785249455</v>
      </c>
      <c r="D42">
        <v>9.3023255813953487E-2</v>
      </c>
      <c r="E42">
        <v>0.21604477611940298</v>
      </c>
      <c r="F42">
        <v>0.72003929273084477</v>
      </c>
      <c r="G42">
        <v>0.74954792043399643</v>
      </c>
      <c r="H42">
        <v>0.34666666666666668</v>
      </c>
      <c r="I42">
        <v>0.52899874963931914</v>
      </c>
      <c r="J42">
        <v>0.61750000000000005</v>
      </c>
      <c r="K42">
        <v>0.17222227982318811</v>
      </c>
      <c r="L42">
        <v>0.4381905628493436</v>
      </c>
      <c r="M42">
        <v>1.4691786861739248E-2</v>
      </c>
      <c r="N42">
        <v>1</v>
      </c>
      <c r="P42" t="s">
        <v>103</v>
      </c>
      <c r="Q42">
        <v>54.008000000000003</v>
      </c>
    </row>
    <row r="43" spans="1:17" x14ac:dyDescent="0.3">
      <c r="A43">
        <v>0.89655172413793105</v>
      </c>
      <c r="B43">
        <v>0.2592592592592593</v>
      </c>
      <c r="C43">
        <v>0.6073752711496746</v>
      </c>
      <c r="D43">
        <v>8.5271317829457363E-2</v>
      </c>
      <c r="E43">
        <v>0.17537313432835822</v>
      </c>
      <c r="F43">
        <v>0.71512770137524562</v>
      </c>
      <c r="G43">
        <v>0.76582278481012667</v>
      </c>
      <c r="H43">
        <v>0.32166666666666666</v>
      </c>
      <c r="I43">
        <v>0.52899874963931914</v>
      </c>
      <c r="J43">
        <v>0.53749999999999998</v>
      </c>
      <c r="K43">
        <v>0.28092567056164397</v>
      </c>
      <c r="L43">
        <v>0.70217242948134673</v>
      </c>
      <c r="M43">
        <v>1.0704454310536507E-2</v>
      </c>
      <c r="N43">
        <v>1</v>
      </c>
      <c r="P43" t="s">
        <v>103</v>
      </c>
      <c r="Q43">
        <v>86.501000000000005</v>
      </c>
    </row>
    <row r="44" spans="1:17" x14ac:dyDescent="0.3">
      <c r="A44">
        <v>0.87068965517241381</v>
      </c>
      <c r="B44">
        <v>0.17901234567901236</v>
      </c>
      <c r="C44">
        <v>0.81344902386117135</v>
      </c>
      <c r="D44">
        <v>0</v>
      </c>
      <c r="E44">
        <v>0.21604477611940298</v>
      </c>
      <c r="F44">
        <v>0.63850687622789781</v>
      </c>
      <c r="G44">
        <v>0.58973779385171787</v>
      </c>
      <c r="H44">
        <v>0.38719999999999999</v>
      </c>
      <c r="I44">
        <v>0.21794748485139942</v>
      </c>
      <c r="J44">
        <v>0.77500000000000002</v>
      </c>
      <c r="K44">
        <v>0.20548338154534176</v>
      </c>
      <c r="L44">
        <v>0.48650558949694528</v>
      </c>
      <c r="M44">
        <v>2.8789307814405037E-2</v>
      </c>
      <c r="N44">
        <v>1</v>
      </c>
      <c r="P44" t="s">
        <v>103</v>
      </c>
      <c r="Q44">
        <v>59.954999999999998</v>
      </c>
    </row>
    <row r="45" spans="1:17" x14ac:dyDescent="0.3">
      <c r="A45">
        <v>0.87068965517241381</v>
      </c>
      <c r="B45">
        <v>0.27160493827160498</v>
      </c>
      <c r="C45">
        <v>0.66160520607375273</v>
      </c>
      <c r="D45">
        <v>0.19767441860465115</v>
      </c>
      <c r="E45">
        <v>0.16417910447761194</v>
      </c>
      <c r="F45">
        <v>0.68762278978389002</v>
      </c>
      <c r="G45">
        <v>0.61057866184448462</v>
      </c>
      <c r="H45">
        <v>0.28335000000000005</v>
      </c>
      <c r="I45">
        <v>0.3629171876502838</v>
      </c>
      <c r="J45">
        <v>0.6</v>
      </c>
      <c r="K45">
        <v>0.37028896100529812</v>
      </c>
      <c r="L45">
        <v>0.8623017678408943</v>
      </c>
      <c r="M45">
        <v>3.4271890072308749E-2</v>
      </c>
      <c r="N45">
        <v>1</v>
      </c>
      <c r="P45" t="s">
        <v>103</v>
      </c>
      <c r="Q45">
        <v>106.211</v>
      </c>
    </row>
    <row r="46" spans="1:17" x14ac:dyDescent="0.3">
      <c r="A46">
        <v>0.91379310344827591</v>
      </c>
      <c r="B46">
        <v>0.37037037037037041</v>
      </c>
      <c r="C46">
        <v>0.74837310195227769</v>
      </c>
      <c r="D46">
        <v>0.17829457364341084</v>
      </c>
      <c r="E46">
        <v>0.22014925373134331</v>
      </c>
      <c r="F46">
        <v>0.49115913555992141</v>
      </c>
      <c r="G46">
        <v>0.47084086799276675</v>
      </c>
      <c r="H46">
        <v>0.3470333333333333</v>
      </c>
      <c r="I46">
        <v>0.33899201692796005</v>
      </c>
      <c r="J46">
        <v>0.7</v>
      </c>
      <c r="K46">
        <v>0.29899739758836275</v>
      </c>
      <c r="L46">
        <v>0.62293643572078516</v>
      </c>
      <c r="M46">
        <v>6.8145046889497199E-2</v>
      </c>
      <c r="N46">
        <v>1</v>
      </c>
      <c r="P46" t="s">
        <v>103</v>
      </c>
      <c r="Q46">
        <v>76.748000000000005</v>
      </c>
    </row>
    <row r="47" spans="1:17" x14ac:dyDescent="0.3">
      <c r="A47">
        <v>0.91379310344827591</v>
      </c>
      <c r="B47">
        <v>0.23456790123456789</v>
      </c>
      <c r="C47">
        <v>0.75921908893709322</v>
      </c>
      <c r="D47">
        <v>0.13953488372093023</v>
      </c>
      <c r="E47">
        <v>0.21604477611940298</v>
      </c>
      <c r="F47">
        <v>0.7053045186640472</v>
      </c>
      <c r="G47">
        <v>0.62884267631103075</v>
      </c>
      <c r="H47">
        <v>0.47666666666666668</v>
      </c>
      <c r="I47">
        <v>0.45686255650668467</v>
      </c>
      <c r="J47">
        <v>0.5</v>
      </c>
      <c r="K47">
        <v>0.33420080387907947</v>
      </c>
      <c r="L47">
        <v>0.81173631873131413</v>
      </c>
      <c r="M47">
        <v>1.8100189398296225E-2</v>
      </c>
      <c r="N47">
        <v>1</v>
      </c>
      <c r="P47" t="s">
        <v>103</v>
      </c>
      <c r="Q47">
        <v>99.986999999999995</v>
      </c>
    </row>
    <row r="48" spans="1:17" x14ac:dyDescent="0.3">
      <c r="A48">
        <v>0.94827586206896552</v>
      </c>
      <c r="B48">
        <v>0.4320987654320988</v>
      </c>
      <c r="C48">
        <v>0.81344902386117135</v>
      </c>
      <c r="D48">
        <v>0.10077519379844961</v>
      </c>
      <c r="E48">
        <v>0.21604477611940298</v>
      </c>
      <c r="F48">
        <v>0.68762278978389002</v>
      </c>
      <c r="G48">
        <v>0.4559674502712478</v>
      </c>
      <c r="H48">
        <v>0.38515000000000005</v>
      </c>
      <c r="I48">
        <v>0.38472636337405025</v>
      </c>
      <c r="J48">
        <v>0.77500000000000002</v>
      </c>
      <c r="K48">
        <v>0.41492394944478428</v>
      </c>
      <c r="L48">
        <v>1</v>
      </c>
      <c r="M48">
        <v>1.8805640541970488E-2</v>
      </c>
      <c r="N48">
        <v>1</v>
      </c>
      <c r="P48" t="s">
        <v>103</v>
      </c>
      <c r="Q48">
        <v>123.16</v>
      </c>
    </row>
    <row r="49" spans="1:17" x14ac:dyDescent="0.3">
      <c r="A49">
        <v>0.85344827586206895</v>
      </c>
      <c r="B49">
        <v>0.2592592592592593</v>
      </c>
      <c r="C49">
        <v>0.85683297180043383</v>
      </c>
      <c r="D49">
        <v>3.8759689922480613E-2</v>
      </c>
      <c r="E49">
        <v>0.14776119402985077</v>
      </c>
      <c r="F49">
        <v>0.37622789783889976</v>
      </c>
      <c r="G49">
        <v>0.569620253164557</v>
      </c>
      <c r="H49">
        <v>0.23333333333333334</v>
      </c>
      <c r="I49">
        <v>0.67492020955234322</v>
      </c>
      <c r="J49">
        <v>0.82499999999999996</v>
      </c>
      <c r="K49">
        <v>0.35110783937625067</v>
      </c>
      <c r="L49">
        <v>0.84037436630703244</v>
      </c>
      <c r="M49">
        <v>2.3341231318963606E-2</v>
      </c>
      <c r="N49">
        <v>1</v>
      </c>
      <c r="P49" t="s">
        <v>103</v>
      </c>
      <c r="Q49">
        <v>103.512</v>
      </c>
    </row>
    <row r="50" spans="1:17" x14ac:dyDescent="0.3">
      <c r="A50">
        <v>0.89655172413793105</v>
      </c>
      <c r="B50">
        <v>0.26543209876543211</v>
      </c>
      <c r="C50">
        <v>0.53145336225596529</v>
      </c>
      <c r="D50">
        <v>4.651162790697675E-2</v>
      </c>
      <c r="E50">
        <v>0.17537313432835822</v>
      </c>
      <c r="F50">
        <v>0.68565815324165025</v>
      </c>
      <c r="G50">
        <v>0.45750452079566001</v>
      </c>
      <c r="H50">
        <v>0.54316666666666669</v>
      </c>
      <c r="I50">
        <v>0.4244012695969992</v>
      </c>
      <c r="J50">
        <v>0.46250000000000002</v>
      </c>
      <c r="K50">
        <v>0.41925784611556371</v>
      </c>
      <c r="L50">
        <v>0.72268620824125829</v>
      </c>
      <c r="M50">
        <v>0.15448229854385689</v>
      </c>
      <c r="N50">
        <v>1</v>
      </c>
      <c r="P50" t="s">
        <v>103</v>
      </c>
      <c r="Q50">
        <v>89.025999999999996</v>
      </c>
    </row>
    <row r="51" spans="1:17" x14ac:dyDescent="0.3">
      <c r="A51">
        <v>0.91379310344827591</v>
      </c>
      <c r="B51">
        <v>0.29012345679012347</v>
      </c>
      <c r="C51">
        <v>0.824295010845987</v>
      </c>
      <c r="D51">
        <v>3.8759689922480613E-2</v>
      </c>
      <c r="E51">
        <v>0.14776119402985077</v>
      </c>
      <c r="F51">
        <v>0.38565815324165026</v>
      </c>
      <c r="G51">
        <v>0.47016274864376134</v>
      </c>
      <c r="H51">
        <v>0.31666666666666665</v>
      </c>
      <c r="I51">
        <v>0.63586805798921098</v>
      </c>
      <c r="J51">
        <v>0.57499999999999996</v>
      </c>
      <c r="K51">
        <v>0.33102123056399413</v>
      </c>
      <c r="L51">
        <v>0.70259489145976861</v>
      </c>
      <c r="M51">
        <v>6.6078535115364295E-2</v>
      </c>
      <c r="N51">
        <v>1</v>
      </c>
      <c r="P51" t="s">
        <v>103</v>
      </c>
      <c r="Q51">
        <v>86.552999999999997</v>
      </c>
    </row>
    <row r="52" spans="1:17" x14ac:dyDescent="0.3">
      <c r="A52">
        <v>0.91379310344827591</v>
      </c>
      <c r="B52">
        <v>0.22839506172839508</v>
      </c>
      <c r="C52">
        <v>0.71583514099783085</v>
      </c>
      <c r="D52">
        <v>3.1007751937984492E-2</v>
      </c>
      <c r="E52">
        <v>0.16156716417910447</v>
      </c>
      <c r="F52">
        <v>0.68565815324165025</v>
      </c>
      <c r="G52">
        <v>0.57414104882459316</v>
      </c>
      <c r="H52">
        <v>0.56666666666666665</v>
      </c>
      <c r="I52">
        <v>0.34681488207681138</v>
      </c>
      <c r="J52">
        <v>0.45</v>
      </c>
      <c r="K52">
        <v>0.40079904059831278</v>
      </c>
      <c r="L52">
        <v>0.90589659430651237</v>
      </c>
      <c r="M52">
        <v>4.7545106699485501E-2</v>
      </c>
      <c r="N52">
        <v>1</v>
      </c>
      <c r="P52" t="s">
        <v>103</v>
      </c>
      <c r="Q52">
        <v>111.577</v>
      </c>
    </row>
    <row r="53" spans="1:17" x14ac:dyDescent="0.3">
      <c r="A53">
        <v>0.11724137931034483</v>
      </c>
      <c r="B53">
        <v>8.0246913580246923E-2</v>
      </c>
      <c r="C53">
        <v>0.78091106290672452</v>
      </c>
      <c r="D53">
        <v>9.3023255813953487E-2</v>
      </c>
      <c r="E53">
        <v>0.17537313432835822</v>
      </c>
      <c r="F53">
        <v>0.49115913555992141</v>
      </c>
      <c r="G53">
        <v>0.2922739602169982</v>
      </c>
      <c r="H53">
        <v>0.93604999999999994</v>
      </c>
      <c r="I53">
        <v>0.27138838126382614</v>
      </c>
      <c r="J53">
        <v>0.625</v>
      </c>
      <c r="K53">
        <v>4.7576093755940109E-2</v>
      </c>
      <c r="L53">
        <v>0.13870564149226572</v>
      </c>
      <c r="M53">
        <v>1.7747463826459028E-2</v>
      </c>
      <c r="N53">
        <v>0</v>
      </c>
      <c r="P53">
        <v>17.145</v>
      </c>
      <c r="Q53" t="s">
        <v>103</v>
      </c>
    </row>
    <row r="54" spans="1:17" x14ac:dyDescent="0.3">
      <c r="A54">
        <v>0.9086206896551724</v>
      </c>
      <c r="B54">
        <v>0.22839506172839508</v>
      </c>
      <c r="C54">
        <v>0.81344902386117135</v>
      </c>
      <c r="D54">
        <v>0.17829457364341084</v>
      </c>
      <c r="E54">
        <v>0.17537313432835822</v>
      </c>
      <c r="F54">
        <v>0.63850687622789781</v>
      </c>
      <c r="G54">
        <v>0.52540687160940325</v>
      </c>
      <c r="H54">
        <v>0.48183333333333328</v>
      </c>
      <c r="I54">
        <v>0.36670433778974709</v>
      </c>
      <c r="J54">
        <v>0.77500000000000002</v>
      </c>
      <c r="K54">
        <v>0.13421601053406462</v>
      </c>
      <c r="L54">
        <v>0.34394092031717144</v>
      </c>
      <c r="M54">
        <v>1.7007506920322362E-2</v>
      </c>
      <c r="N54">
        <v>1</v>
      </c>
      <c r="P54" t="s">
        <v>103</v>
      </c>
      <c r="Q54">
        <v>42.406999999999996</v>
      </c>
    </row>
    <row r="55" spans="1:17" x14ac:dyDescent="0.3">
      <c r="A55">
        <v>0.95</v>
      </c>
      <c r="B55">
        <v>0.4320987654320988</v>
      </c>
      <c r="C55">
        <v>0.824295010845987</v>
      </c>
      <c r="D55">
        <v>0.13953488372093023</v>
      </c>
      <c r="E55">
        <v>0.21604477611940298</v>
      </c>
      <c r="F55">
        <v>0.61493123772102165</v>
      </c>
      <c r="G55">
        <v>0.40325497287522605</v>
      </c>
      <c r="H55">
        <v>0.54500000000000004</v>
      </c>
      <c r="I55">
        <v>0.34865826680773304</v>
      </c>
      <c r="J55">
        <v>0.78749999999999998</v>
      </c>
      <c r="K55">
        <v>0.22820696257434844</v>
      </c>
      <c r="L55">
        <v>0.52916612504874561</v>
      </c>
      <c r="M55">
        <v>3.3865488869974592E-2</v>
      </c>
      <c r="N55">
        <v>1</v>
      </c>
      <c r="P55" t="s">
        <v>103</v>
      </c>
      <c r="Q55">
        <v>65.206000000000003</v>
      </c>
    </row>
    <row r="56" spans="1:17" x14ac:dyDescent="0.3">
      <c r="A56">
        <v>0.15517241379310345</v>
      </c>
      <c r="B56">
        <v>4.938271604938272E-2</v>
      </c>
      <c r="C56">
        <v>0.8026030368763557</v>
      </c>
      <c r="D56">
        <v>0.11627906976744186</v>
      </c>
      <c r="E56">
        <v>0.17537313432835822</v>
      </c>
      <c r="F56">
        <v>0.49115913555992141</v>
      </c>
      <c r="G56">
        <v>0.42034358047016279</v>
      </c>
      <c r="H56">
        <v>0.50576666666666659</v>
      </c>
      <c r="I56">
        <v>0.31077474271424455</v>
      </c>
      <c r="J56">
        <v>0.67500000000000004</v>
      </c>
      <c r="K56">
        <v>9.3303196507999064E-2</v>
      </c>
      <c r="L56">
        <v>0.2189734173924347</v>
      </c>
      <c r="M56">
        <v>3.0595109383267025E-2</v>
      </c>
      <c r="N56">
        <v>0</v>
      </c>
      <c r="P56">
        <v>27.024999999999999</v>
      </c>
      <c r="Q56" t="s">
        <v>103</v>
      </c>
    </row>
    <row r="57" spans="1:17" x14ac:dyDescent="0.3">
      <c r="A57">
        <v>0.91034482758620694</v>
      </c>
      <c r="B57">
        <v>0.13580246913580249</v>
      </c>
      <c r="C57">
        <v>0.95444685466377444</v>
      </c>
      <c r="D57">
        <v>3.1007751937984492E-2</v>
      </c>
      <c r="E57">
        <v>1.1194029850746259E-2</v>
      </c>
      <c r="F57">
        <v>0.88231827111984273</v>
      </c>
      <c r="G57">
        <v>0.6148282097649187</v>
      </c>
      <c r="H57">
        <v>0.8</v>
      </c>
      <c r="I57">
        <v>0.24173961240827696</v>
      </c>
      <c r="J57">
        <v>0.86250000000000004</v>
      </c>
      <c r="K57">
        <v>0.32369093164954188</v>
      </c>
      <c r="L57">
        <v>0.45638892499675027</v>
      </c>
      <c r="M57">
        <v>0.17413524725295793</v>
      </c>
      <c r="N57">
        <v>1</v>
      </c>
      <c r="P57" t="s">
        <v>103</v>
      </c>
      <c r="Q57">
        <v>56.247999999999998</v>
      </c>
    </row>
    <row r="58" spans="1:17" x14ac:dyDescent="0.3">
      <c r="A58">
        <v>0.97758620689655173</v>
      </c>
      <c r="B58">
        <v>0.19753086419753088</v>
      </c>
      <c r="C58">
        <v>0.95444685466377444</v>
      </c>
      <c r="D58">
        <v>6.9767441860465129E-2</v>
      </c>
      <c r="E58">
        <v>0.21641791044776121</v>
      </c>
      <c r="F58">
        <v>0.88231827111984273</v>
      </c>
      <c r="G58">
        <v>0.62839059674502717</v>
      </c>
      <c r="H58">
        <v>0.53333333333333333</v>
      </c>
      <c r="I58">
        <v>0.4257187431147908</v>
      </c>
      <c r="J58">
        <v>0.86250000000000004</v>
      </c>
      <c r="K58">
        <v>0.30518028526302332</v>
      </c>
      <c r="L58">
        <v>0.3460776030157286</v>
      </c>
      <c r="M58">
        <v>0.20565817824910096</v>
      </c>
      <c r="N58">
        <v>1</v>
      </c>
      <c r="P58" t="s">
        <v>103</v>
      </c>
      <c r="Q58">
        <v>42.67</v>
      </c>
    </row>
    <row r="59" spans="1:17" x14ac:dyDescent="0.3">
      <c r="A59">
        <v>0.91379310344827591</v>
      </c>
      <c r="B59">
        <v>0.13580246913580249</v>
      </c>
      <c r="C59">
        <v>0.95444685466377444</v>
      </c>
      <c r="D59">
        <v>3.1007751937984492E-2</v>
      </c>
      <c r="E59">
        <v>1.1194029850746259E-2</v>
      </c>
      <c r="F59">
        <v>0.88605108055009829</v>
      </c>
      <c r="G59">
        <v>0.59674502712477395</v>
      </c>
      <c r="H59">
        <v>0.83333333333333337</v>
      </c>
      <c r="I59">
        <v>0.23849575331835388</v>
      </c>
      <c r="J59">
        <v>0.86250000000000004</v>
      </c>
      <c r="K59">
        <v>0.14334691564108148</v>
      </c>
      <c r="L59">
        <v>0.31541661250487457</v>
      </c>
      <c r="M59">
        <v>4.0597946523736134E-2</v>
      </c>
      <c r="N59">
        <v>1</v>
      </c>
      <c r="P59" t="s">
        <v>103</v>
      </c>
      <c r="Q59">
        <v>38.896000000000001</v>
      </c>
    </row>
    <row r="60" spans="1:17" x14ac:dyDescent="0.3">
      <c r="A60">
        <v>0.96379310344827585</v>
      </c>
      <c r="B60">
        <v>0.19753086419753088</v>
      </c>
      <c r="C60">
        <v>0.95444685466377444</v>
      </c>
      <c r="D60">
        <v>7.7519379844961239E-2</v>
      </c>
      <c r="E60">
        <v>0.20970149253731343</v>
      </c>
      <c r="F60">
        <v>0.88212180746561886</v>
      </c>
      <c r="G60">
        <v>0.78209764918625679</v>
      </c>
      <c r="H60">
        <v>0.73333333333333328</v>
      </c>
      <c r="I60">
        <v>0.24912114308740219</v>
      </c>
      <c r="J60">
        <v>0.86250000000000004</v>
      </c>
      <c r="K60">
        <v>0.19308304561650888</v>
      </c>
      <c r="L60">
        <v>0.29701514363707265</v>
      </c>
      <c r="M60">
        <v>0.10445661092069043</v>
      </c>
      <c r="N60">
        <v>1</v>
      </c>
      <c r="P60" t="s">
        <v>103</v>
      </c>
      <c r="Q60">
        <v>36.631</v>
      </c>
    </row>
    <row r="61" spans="1:17" x14ac:dyDescent="0.3">
      <c r="A61">
        <v>0.92758620689655169</v>
      </c>
      <c r="B61">
        <v>0.16666666666666669</v>
      </c>
      <c r="C61">
        <v>1</v>
      </c>
      <c r="D61">
        <v>1.0852713178294575E-2</v>
      </c>
      <c r="E61">
        <v>0.20970149253731343</v>
      </c>
      <c r="F61">
        <v>0.88408644400785852</v>
      </c>
      <c r="G61">
        <v>0.47219710669077752</v>
      </c>
      <c r="H61">
        <v>0.72853333333333337</v>
      </c>
      <c r="I61">
        <v>0.38244205059151681</v>
      </c>
      <c r="J61">
        <v>0.91500000000000004</v>
      </c>
      <c r="K61">
        <v>0.18247985982228951</v>
      </c>
      <c r="L61">
        <v>0.38413167814896659</v>
      </c>
      <c r="M61">
        <v>5.1582280907578243E-2</v>
      </c>
      <c r="N61">
        <v>1</v>
      </c>
      <c r="P61" t="s">
        <v>103</v>
      </c>
      <c r="Q61">
        <v>47.353999999999999</v>
      </c>
    </row>
    <row r="62" spans="1:17" x14ac:dyDescent="0.3">
      <c r="A62">
        <v>0.91551724137931034</v>
      </c>
      <c r="B62">
        <v>0.16666666666666669</v>
      </c>
      <c r="C62">
        <v>0.9219088937093276</v>
      </c>
      <c r="D62">
        <v>1.0852713178294575E-2</v>
      </c>
      <c r="E62">
        <v>0.20970149253731343</v>
      </c>
      <c r="F62">
        <v>0.88408644400785852</v>
      </c>
      <c r="G62">
        <v>0.55515370705244127</v>
      </c>
      <c r="H62">
        <v>0.68396666666666661</v>
      </c>
      <c r="I62">
        <v>0.33313696258536113</v>
      </c>
      <c r="J62">
        <v>0.82499999999999996</v>
      </c>
      <c r="K62">
        <v>0.10841999398645917</v>
      </c>
      <c r="L62">
        <v>0.26109775120239176</v>
      </c>
      <c r="M62">
        <v>2.7485756788050264E-2</v>
      </c>
      <c r="N62">
        <v>0</v>
      </c>
      <c r="P62">
        <v>32.21</v>
      </c>
      <c r="Q62" t="s">
        <v>103</v>
      </c>
    </row>
    <row r="63" spans="1:17" x14ac:dyDescent="0.3">
      <c r="A63">
        <v>1</v>
      </c>
      <c r="B63">
        <v>0.19753086419753088</v>
      </c>
      <c r="C63">
        <v>0.97613882863340562</v>
      </c>
      <c r="D63">
        <v>7.7519379844961239E-2</v>
      </c>
      <c r="E63">
        <v>0.20970149253731343</v>
      </c>
      <c r="F63">
        <v>0.88212180746561886</v>
      </c>
      <c r="G63">
        <v>0.56509945750452084</v>
      </c>
      <c r="H63">
        <v>0.46666666666666667</v>
      </c>
      <c r="I63">
        <v>0.46197156426002406</v>
      </c>
      <c r="J63">
        <v>1</v>
      </c>
      <c r="K63">
        <v>0.47944509533535862</v>
      </c>
      <c r="L63">
        <v>0.71457818796308337</v>
      </c>
      <c r="M63">
        <v>0.22507725456817956</v>
      </c>
      <c r="N63">
        <v>1</v>
      </c>
      <c r="P63" t="s">
        <v>103</v>
      </c>
      <c r="Q63">
        <v>88.028000000000006</v>
      </c>
    </row>
    <row r="64" spans="1:17" x14ac:dyDescent="0.3">
      <c r="A64">
        <v>0.93965517241379315</v>
      </c>
      <c r="B64">
        <v>0.5864197530864198</v>
      </c>
      <c r="C64">
        <v>1</v>
      </c>
      <c r="D64">
        <v>1.0852713178294575E-2</v>
      </c>
      <c r="E64">
        <v>0.20970149253731343</v>
      </c>
      <c r="F64">
        <v>0.49115913555992141</v>
      </c>
      <c r="G64">
        <v>0.3693490054249548</v>
      </c>
      <c r="H64">
        <v>0.57000000000000006</v>
      </c>
      <c r="I64">
        <v>0.2825334231028182</v>
      </c>
      <c r="J64">
        <v>0.57750000000000001</v>
      </c>
      <c r="K64">
        <v>0.277445420204806</v>
      </c>
      <c r="L64">
        <v>0.53080722734953856</v>
      </c>
      <c r="M64">
        <v>8.7713648179245915E-2</v>
      </c>
      <c r="N64">
        <v>1</v>
      </c>
      <c r="P64" t="s">
        <v>103</v>
      </c>
      <c r="Q64">
        <v>65.408000000000001</v>
      </c>
    </row>
    <row r="65" spans="1:17" x14ac:dyDescent="0.3">
      <c r="A65">
        <v>0.98275862068965514</v>
      </c>
      <c r="B65">
        <v>1</v>
      </c>
      <c r="C65">
        <v>1</v>
      </c>
      <c r="D65">
        <v>1.0852713178294575E-2</v>
      </c>
      <c r="E65">
        <v>0</v>
      </c>
      <c r="F65">
        <v>0.89390962671905705</v>
      </c>
      <c r="G65">
        <v>0.49679023508137427</v>
      </c>
      <c r="H65">
        <v>0.82166666666666666</v>
      </c>
      <c r="I65">
        <v>0.26449937481965957</v>
      </c>
      <c r="J65">
        <v>0.91500000000000004</v>
      </c>
      <c r="K65">
        <v>0.33419734782112825</v>
      </c>
      <c r="L65">
        <v>0.65757831795138444</v>
      </c>
      <c r="M65">
        <v>9.0846004616104231E-2</v>
      </c>
      <c r="N65">
        <v>1</v>
      </c>
      <c r="P65" t="s">
        <v>103</v>
      </c>
      <c r="Q65">
        <v>81.012</v>
      </c>
    </row>
    <row r="66" spans="1:17" x14ac:dyDescent="0.3">
      <c r="A66">
        <v>0.91379310344827591</v>
      </c>
      <c r="B66">
        <v>1</v>
      </c>
      <c r="C66">
        <v>1</v>
      </c>
      <c r="D66">
        <v>1.0852713178294575E-2</v>
      </c>
      <c r="E66">
        <v>0</v>
      </c>
      <c r="F66">
        <v>0.88408644400785852</v>
      </c>
      <c r="G66">
        <v>0.48824593128390598</v>
      </c>
      <c r="H66">
        <v>0.99833333333333341</v>
      </c>
      <c r="I66">
        <v>0.27652207367509857</v>
      </c>
      <c r="J66">
        <v>0.91500000000000004</v>
      </c>
      <c r="K66">
        <v>0.26400481083266802</v>
      </c>
      <c r="L66">
        <v>0.47024080332770052</v>
      </c>
      <c r="M66">
        <v>0.10138559806154294</v>
      </c>
      <c r="N66">
        <v>1</v>
      </c>
      <c r="P66" t="s">
        <v>103</v>
      </c>
      <c r="Q66">
        <v>57.953000000000003</v>
      </c>
    </row>
    <row r="67" spans="1:17" x14ac:dyDescent="0.3">
      <c r="A67">
        <v>0.90517241379310343</v>
      </c>
      <c r="B67">
        <v>0.19753086419753088</v>
      </c>
      <c r="C67">
        <v>0.95444685466377444</v>
      </c>
      <c r="D67">
        <v>7.0542635658914735E-2</v>
      </c>
      <c r="E67">
        <v>0.20970149253731343</v>
      </c>
      <c r="F67">
        <v>0.48428290766208248</v>
      </c>
      <c r="G67">
        <v>0.56509945750452084</v>
      </c>
      <c r="H67">
        <v>0.46666666666666667</v>
      </c>
      <c r="I67">
        <v>0.46197156426002406</v>
      </c>
      <c r="J67">
        <v>0.97499999999999998</v>
      </c>
      <c r="K67">
        <v>0.20567692079060784</v>
      </c>
      <c r="L67">
        <v>0.22645586897179257</v>
      </c>
      <c r="M67">
        <v>0.15172567152047731</v>
      </c>
      <c r="N67">
        <v>0</v>
      </c>
      <c r="P67">
        <v>27.946000000000002</v>
      </c>
      <c r="Q67" t="s">
        <v>103</v>
      </c>
    </row>
    <row r="68" spans="1:17" x14ac:dyDescent="0.3">
      <c r="A68">
        <v>0.97413793103448276</v>
      </c>
      <c r="B68">
        <v>0.1851851851851852</v>
      </c>
      <c r="C68">
        <v>0.91106290672451196</v>
      </c>
      <c r="D68">
        <v>6.2015503875968991E-2</v>
      </c>
      <c r="E68">
        <v>0.20970149253731343</v>
      </c>
      <c r="F68">
        <v>0.88703339882121812</v>
      </c>
      <c r="G68">
        <v>0.5244122965641953</v>
      </c>
      <c r="H68">
        <v>0.71666666666666667</v>
      </c>
      <c r="I68">
        <v>0.38140603114370369</v>
      </c>
      <c r="J68">
        <v>0.8125</v>
      </c>
      <c r="K68">
        <v>0.25422071077287822</v>
      </c>
      <c r="L68">
        <v>0.20437410633043029</v>
      </c>
      <c r="M68">
        <v>0.21599840506697954</v>
      </c>
      <c r="N68">
        <v>0</v>
      </c>
      <c r="P68">
        <v>25.228000000000002</v>
      </c>
      <c r="Q68" t="s">
        <v>103</v>
      </c>
    </row>
    <row r="69" spans="1:17" x14ac:dyDescent="0.3">
      <c r="A69">
        <v>0.87931034482758619</v>
      </c>
      <c r="B69">
        <v>0.16666666666666669</v>
      </c>
      <c r="C69">
        <v>1</v>
      </c>
      <c r="D69">
        <v>1.0852713178294575E-2</v>
      </c>
      <c r="E69">
        <v>0.20970149253731343</v>
      </c>
      <c r="F69">
        <v>0.88408644400785852</v>
      </c>
      <c r="G69">
        <v>0.17122513562386982</v>
      </c>
      <c r="H69">
        <v>0.38543333333333329</v>
      </c>
      <c r="I69">
        <v>0.23030681927479085</v>
      </c>
      <c r="J69">
        <v>0.91500000000000004</v>
      </c>
      <c r="K69">
        <v>0.1914483302056009</v>
      </c>
      <c r="L69">
        <v>0.20238366047055767</v>
      </c>
      <c r="M69">
        <v>0.14730126597808502</v>
      </c>
      <c r="N69">
        <v>0</v>
      </c>
      <c r="P69">
        <v>24.983000000000001</v>
      </c>
      <c r="Q69" t="s">
        <v>103</v>
      </c>
    </row>
    <row r="70" spans="1:17" x14ac:dyDescent="0.3">
      <c r="A70">
        <v>0.93793103448275861</v>
      </c>
      <c r="B70">
        <v>0.16666666666666669</v>
      </c>
      <c r="C70">
        <v>1</v>
      </c>
      <c r="D70">
        <v>1.0852713178294575E-2</v>
      </c>
      <c r="E70">
        <v>0.20970149253731343</v>
      </c>
      <c r="F70">
        <v>0.88408644400785852</v>
      </c>
      <c r="G70">
        <v>0.63137432188065101</v>
      </c>
      <c r="H70">
        <v>0.57140000000000002</v>
      </c>
      <c r="I70">
        <v>0.36795469847071272</v>
      </c>
      <c r="J70">
        <v>0.91500000000000004</v>
      </c>
      <c r="K70">
        <v>0.18034055995050927</v>
      </c>
      <c r="L70">
        <v>0.1970135187833095</v>
      </c>
      <c r="M70">
        <v>0.13751313135960372</v>
      </c>
      <c r="N70">
        <v>0</v>
      </c>
      <c r="P70">
        <v>24.321999999999999</v>
      </c>
      <c r="Q70" t="s">
        <v>103</v>
      </c>
    </row>
    <row r="71" spans="1:17" x14ac:dyDescent="0.3">
      <c r="A71">
        <v>0.9086206896551724</v>
      </c>
      <c r="B71">
        <v>0.13580246913580249</v>
      </c>
      <c r="C71">
        <v>0.86767895878524948</v>
      </c>
      <c r="D71">
        <v>3.1007751937984492E-2</v>
      </c>
      <c r="E71">
        <v>0.20671641791044776</v>
      </c>
      <c r="F71">
        <v>0.62671905697445973</v>
      </c>
      <c r="G71">
        <v>0.49728752260397835</v>
      </c>
      <c r="H71">
        <v>0.51666666666666672</v>
      </c>
      <c r="I71">
        <v>0.35802624887819101</v>
      </c>
      <c r="J71">
        <v>0.76249999999999996</v>
      </c>
      <c r="K71">
        <v>0.22220724597110048</v>
      </c>
      <c r="L71">
        <v>0.25168172364487196</v>
      </c>
      <c r="M71">
        <v>0.1581590792328986</v>
      </c>
      <c r="N71">
        <v>0</v>
      </c>
      <c r="P71">
        <v>31.050999999999998</v>
      </c>
      <c r="Q71" t="s">
        <v>103</v>
      </c>
    </row>
    <row r="72" spans="1:17" x14ac:dyDescent="0.3">
      <c r="A72">
        <v>0.91379310344827591</v>
      </c>
      <c r="B72">
        <v>1</v>
      </c>
      <c r="C72">
        <v>1</v>
      </c>
      <c r="D72">
        <v>1.0852713178294575E-2</v>
      </c>
      <c r="E72">
        <v>0</v>
      </c>
      <c r="F72">
        <v>0.90373280943025547</v>
      </c>
      <c r="G72">
        <v>0.48462929475587702</v>
      </c>
      <c r="H72">
        <v>1</v>
      </c>
      <c r="I72">
        <v>0.28854477253053767</v>
      </c>
      <c r="J72">
        <v>0.91500000000000004</v>
      </c>
      <c r="K72">
        <v>0.18681375649306889</v>
      </c>
      <c r="L72">
        <v>0.33700279474847261</v>
      </c>
      <c r="M72">
        <v>7.8630964704438991E-2</v>
      </c>
      <c r="N72">
        <v>1</v>
      </c>
      <c r="P72" t="s">
        <v>103</v>
      </c>
      <c r="Q72">
        <v>41.552999999999997</v>
      </c>
    </row>
    <row r="73" spans="1:17" x14ac:dyDescent="0.3">
      <c r="A73">
        <v>0.99310344827586206</v>
      </c>
      <c r="B73">
        <v>0.16049382716049382</v>
      </c>
      <c r="C73">
        <v>0.68546637744034711</v>
      </c>
      <c r="D73">
        <v>1.0852713178294575E-2</v>
      </c>
      <c r="E73">
        <v>0.20970149253731343</v>
      </c>
      <c r="F73">
        <v>0.25540275049115913</v>
      </c>
      <c r="G73">
        <v>0.17476491862567814</v>
      </c>
      <c r="H73">
        <v>0.67858333333333343</v>
      </c>
      <c r="I73">
        <v>0.17116716360488604</v>
      </c>
      <c r="J73">
        <v>0.55249999999999999</v>
      </c>
      <c r="K73">
        <v>0.17688450199932954</v>
      </c>
      <c r="L73">
        <v>0.26485116339529441</v>
      </c>
      <c r="M73">
        <v>0.10166547813484854</v>
      </c>
      <c r="N73">
        <v>0</v>
      </c>
      <c r="P73">
        <v>32.671999999999997</v>
      </c>
      <c r="Q73" t="s">
        <v>103</v>
      </c>
    </row>
    <row r="74" spans="1:17" x14ac:dyDescent="0.3">
      <c r="A74">
        <v>0.93965517241379315</v>
      </c>
      <c r="B74">
        <v>0.16666666666666669</v>
      </c>
      <c r="C74">
        <v>0.93275488069414314</v>
      </c>
      <c r="D74">
        <v>1.0852713178294575E-2</v>
      </c>
      <c r="E74">
        <v>0.20970149253731343</v>
      </c>
      <c r="F74">
        <v>0.78585461689587432</v>
      </c>
      <c r="G74">
        <v>0.47979204339963832</v>
      </c>
      <c r="H74">
        <v>0.98126666666666673</v>
      </c>
      <c r="I74">
        <v>0.27528373569298836</v>
      </c>
      <c r="J74">
        <v>0.83750000000000002</v>
      </c>
      <c r="K74">
        <v>0.21308670903793714</v>
      </c>
      <c r="L74">
        <v>0.27892239698427146</v>
      </c>
      <c r="M74">
        <v>0.13518590938019981</v>
      </c>
      <c r="N74">
        <v>0</v>
      </c>
      <c r="P74">
        <v>34.404000000000003</v>
      </c>
      <c r="Q74" t="s">
        <v>103</v>
      </c>
    </row>
    <row r="75" spans="1:17" x14ac:dyDescent="0.3">
      <c r="A75">
        <v>0.27586206896551724</v>
      </c>
      <c r="B75">
        <v>0.19753086419753088</v>
      </c>
      <c r="C75">
        <v>0.33188720173535791</v>
      </c>
      <c r="D75">
        <v>0.23255813953488372</v>
      </c>
      <c r="E75">
        <v>1</v>
      </c>
      <c r="F75">
        <v>6.8762278978389005E-2</v>
      </c>
      <c r="G75">
        <v>0.36618444846292947</v>
      </c>
      <c r="H75">
        <v>0.05</v>
      </c>
      <c r="I75">
        <v>0.168317783976147</v>
      </c>
      <c r="J75">
        <v>0.125</v>
      </c>
      <c r="K75">
        <v>0.15328653830867436</v>
      </c>
      <c r="L75">
        <v>0.17704406603405695</v>
      </c>
      <c r="M75">
        <v>0.11692469309041277</v>
      </c>
      <c r="N75">
        <v>0</v>
      </c>
      <c r="P75">
        <v>21.864000000000001</v>
      </c>
      <c r="Q75" t="s">
        <v>103</v>
      </c>
    </row>
    <row r="76" spans="1:17" x14ac:dyDescent="0.3">
      <c r="A76">
        <v>0.10344827586206896</v>
      </c>
      <c r="B76">
        <v>0.32098765432098769</v>
      </c>
      <c r="C76">
        <v>0.34056399132321041</v>
      </c>
      <c r="D76">
        <v>0.29457364341085268</v>
      </c>
      <c r="E76">
        <v>1</v>
      </c>
      <c r="F76">
        <v>9.8231827111984291E-2</v>
      </c>
      <c r="G76">
        <v>0.1763110307414105</v>
      </c>
      <c r="H76">
        <v>0.05</v>
      </c>
      <c r="I76">
        <v>0.34865826680773304</v>
      </c>
      <c r="J76">
        <v>0.25</v>
      </c>
      <c r="K76">
        <v>2.282726276754209E-2</v>
      </c>
      <c r="L76">
        <v>0.10375503704666582</v>
      </c>
      <c r="M76">
        <v>6.7861332842584707E-3</v>
      </c>
      <c r="N76">
        <v>0</v>
      </c>
      <c r="P76">
        <v>12.843</v>
      </c>
      <c r="Q76" t="s">
        <v>103</v>
      </c>
    </row>
    <row r="77" spans="1:17" x14ac:dyDescent="0.3">
      <c r="A77">
        <v>0.60862068965517246</v>
      </c>
      <c r="B77">
        <v>0.38271604938271608</v>
      </c>
      <c r="C77">
        <v>0.34707158351409978</v>
      </c>
      <c r="D77">
        <v>6.9767441860465129E-2</v>
      </c>
      <c r="E77">
        <v>1</v>
      </c>
      <c r="F77">
        <v>9.8231827111984291E-2</v>
      </c>
      <c r="G77">
        <v>0.17179023508137434</v>
      </c>
      <c r="H77">
        <v>0.1</v>
      </c>
      <c r="I77">
        <v>0.25247667596422052</v>
      </c>
      <c r="J77">
        <v>0.13750000000000001</v>
      </c>
      <c r="K77">
        <v>0.44280742499490233</v>
      </c>
      <c r="L77">
        <v>0.259830365267126</v>
      </c>
      <c r="M77">
        <v>0.39903613903521895</v>
      </c>
      <c r="N77">
        <v>0</v>
      </c>
      <c r="P77">
        <v>32.054000000000002</v>
      </c>
      <c r="Q77" t="s">
        <v>103</v>
      </c>
    </row>
    <row r="78" spans="1:17" x14ac:dyDescent="0.3">
      <c r="A78">
        <v>0.2413793103448276</v>
      </c>
      <c r="B78">
        <v>0.13580246913580249</v>
      </c>
      <c r="C78">
        <v>0.34056399132321041</v>
      </c>
      <c r="D78">
        <v>0.33333333333333331</v>
      </c>
      <c r="E78">
        <v>1</v>
      </c>
      <c r="F78">
        <v>0.206286836935167</v>
      </c>
      <c r="G78">
        <v>0.3345388788426763</v>
      </c>
      <c r="H78">
        <v>0.2</v>
      </c>
      <c r="I78">
        <v>0.28854477253053767</v>
      </c>
      <c r="J78">
        <v>0.20749999999999999</v>
      </c>
      <c r="K78">
        <v>0.22487532270941119</v>
      </c>
      <c r="L78">
        <v>8.0422137007669314E-2</v>
      </c>
      <c r="M78">
        <v>0.24193907049143873</v>
      </c>
      <c r="N78">
        <v>0</v>
      </c>
      <c r="P78">
        <v>9.9710000000000001</v>
      </c>
      <c r="Q78" t="s">
        <v>103</v>
      </c>
    </row>
    <row r="79" spans="1:17" x14ac:dyDescent="0.3">
      <c r="A79">
        <v>0.31034482758620691</v>
      </c>
      <c r="B79">
        <v>0.19753086419753088</v>
      </c>
      <c r="C79">
        <v>0.32754880694143168</v>
      </c>
      <c r="D79">
        <v>0.21705426356589144</v>
      </c>
      <c r="E79">
        <v>1</v>
      </c>
      <c r="F79">
        <v>4.9115913555992145E-2</v>
      </c>
      <c r="G79">
        <v>0.108499095840868</v>
      </c>
      <c r="H79">
        <v>0.05</v>
      </c>
      <c r="I79">
        <v>0.15629508512070789</v>
      </c>
      <c r="J79">
        <v>0.17749999999999999</v>
      </c>
      <c r="K79">
        <v>0.19325239245611672</v>
      </c>
      <c r="L79">
        <v>0.16948037176654102</v>
      </c>
      <c r="M79">
        <v>0.1648301933089493</v>
      </c>
      <c r="N79">
        <v>0</v>
      </c>
      <c r="P79">
        <v>20.933</v>
      </c>
      <c r="Q79" t="s">
        <v>103</v>
      </c>
    </row>
    <row r="80" spans="1:17" x14ac:dyDescent="0.3">
      <c r="A80">
        <v>1.7241379310344827E-2</v>
      </c>
      <c r="B80">
        <v>0.32098765432098769</v>
      </c>
      <c r="C80">
        <v>0.34056399132321041</v>
      </c>
      <c r="D80">
        <v>0.14728682170542637</v>
      </c>
      <c r="E80">
        <v>1</v>
      </c>
      <c r="F80">
        <v>4.9115913555992145E-2</v>
      </c>
      <c r="G80">
        <v>9.9457504520795659E-2</v>
      </c>
      <c r="H80">
        <v>1.6666666666666666E-2</v>
      </c>
      <c r="I80">
        <v>0.19236318168702515</v>
      </c>
      <c r="J80">
        <v>0.13500000000000001</v>
      </c>
      <c r="K80">
        <v>8.3564025201574577E-2</v>
      </c>
      <c r="L80">
        <v>0.117818146366827</v>
      </c>
      <c r="M80">
        <v>6.7527777138782177E-2</v>
      </c>
      <c r="N80">
        <v>0</v>
      </c>
      <c r="P80">
        <v>14.574</v>
      </c>
      <c r="Q80" t="s">
        <v>103</v>
      </c>
    </row>
    <row r="81" spans="1:17" x14ac:dyDescent="0.3">
      <c r="A81">
        <v>0.26896551724137929</v>
      </c>
      <c r="B81">
        <v>0.2592592592592593</v>
      </c>
      <c r="C81">
        <v>0.35357917570498915</v>
      </c>
      <c r="D81">
        <v>0.25581395348837205</v>
      </c>
      <c r="E81">
        <v>1</v>
      </c>
      <c r="F81">
        <v>4.9115913555992145E-2</v>
      </c>
      <c r="G81">
        <v>9.9457504520795659E-2</v>
      </c>
      <c r="H81">
        <v>6.6666666666666666E-2</v>
      </c>
      <c r="I81">
        <v>0.10820428969895164</v>
      </c>
      <c r="J81">
        <v>0.155</v>
      </c>
      <c r="K81">
        <v>0.11101203744984395</v>
      </c>
      <c r="L81">
        <v>2.9190497855193034E-2</v>
      </c>
      <c r="M81">
        <v>0.13980201360293837</v>
      </c>
      <c r="N81">
        <v>0</v>
      </c>
      <c r="P81">
        <v>3.665</v>
      </c>
      <c r="Q81" t="s">
        <v>103</v>
      </c>
    </row>
    <row r="82" spans="1:17" x14ac:dyDescent="0.3">
      <c r="A82">
        <v>3.4482758620689655E-2</v>
      </c>
      <c r="B82">
        <v>0.2592592592592593</v>
      </c>
      <c r="C82">
        <v>0.26681127982646419</v>
      </c>
      <c r="D82">
        <v>0.37209302325581395</v>
      </c>
      <c r="E82">
        <v>1</v>
      </c>
      <c r="F82">
        <v>9.8231827111984291E-2</v>
      </c>
      <c r="G82">
        <v>0.18535262206148284</v>
      </c>
      <c r="H82">
        <v>3.3333333333333333E-2</v>
      </c>
      <c r="I82">
        <v>0.34865826680773304</v>
      </c>
      <c r="J82">
        <v>0.1275</v>
      </c>
      <c r="K82">
        <v>0</v>
      </c>
      <c r="L82">
        <v>6.4474197322240995E-2</v>
      </c>
      <c r="M82">
        <v>0</v>
      </c>
      <c r="N82">
        <v>0</v>
      </c>
      <c r="P82">
        <v>8.0079999999999991</v>
      </c>
      <c r="Q82" t="s">
        <v>103</v>
      </c>
    </row>
    <row r="83" spans="1:17" x14ac:dyDescent="0.3">
      <c r="A83">
        <v>0.2413793103448276</v>
      </c>
      <c r="B83">
        <v>0.93827160493827155</v>
      </c>
      <c r="C83">
        <v>0.34707158351409978</v>
      </c>
      <c r="D83">
        <v>0.45736434108527124</v>
      </c>
      <c r="E83">
        <v>1</v>
      </c>
      <c r="F83">
        <v>4.9115913555992145E-2</v>
      </c>
      <c r="G83">
        <v>0.14466546112115733</v>
      </c>
      <c r="H83">
        <v>3.3333333333333333E-2</v>
      </c>
      <c r="I83">
        <v>0.22843127825334233</v>
      </c>
      <c r="J83">
        <v>7.7499999999999999E-2</v>
      </c>
      <c r="K83">
        <v>0.11795180181581287</v>
      </c>
      <c r="L83">
        <v>0.27225237228649418</v>
      </c>
      <c r="M83">
        <v>3.2795810233642364E-2</v>
      </c>
      <c r="N83">
        <v>0</v>
      </c>
      <c r="P83">
        <v>33.582999999999998</v>
      </c>
      <c r="Q83" t="s">
        <v>103</v>
      </c>
    </row>
    <row r="84" spans="1:17" x14ac:dyDescent="0.3">
      <c r="A84">
        <v>0.10344827586206896</v>
      </c>
      <c r="B84">
        <v>0.19753086419753088</v>
      </c>
      <c r="C84">
        <v>0.32537960954446854</v>
      </c>
      <c r="D84">
        <v>0.75968992248062017</v>
      </c>
      <c r="E84">
        <v>1</v>
      </c>
      <c r="F84">
        <v>4.9115913555992145E-2</v>
      </c>
      <c r="G84">
        <v>0.15822784810126583</v>
      </c>
      <c r="H84">
        <v>0.11666666666666667</v>
      </c>
      <c r="I84">
        <v>9.6181590843512563E-2</v>
      </c>
      <c r="J84">
        <v>0.2225</v>
      </c>
      <c r="K84">
        <v>0.22531078601125984</v>
      </c>
      <c r="L84">
        <v>0.340934940855323</v>
      </c>
      <c r="M84">
        <v>0.11948195348623222</v>
      </c>
      <c r="N84">
        <v>1</v>
      </c>
      <c r="P84" t="s">
        <v>103</v>
      </c>
      <c r="Q84">
        <v>42.036999999999999</v>
      </c>
    </row>
    <row r="85" spans="1:17" x14ac:dyDescent="0.3">
      <c r="A85">
        <v>0.20517241379310344</v>
      </c>
      <c r="B85">
        <v>0.32098765432098769</v>
      </c>
      <c r="C85">
        <v>0.32104121475054231</v>
      </c>
      <c r="D85">
        <v>0.37209302325581395</v>
      </c>
      <c r="E85">
        <v>1</v>
      </c>
      <c r="F85">
        <v>9.8231827111984291E-2</v>
      </c>
      <c r="G85">
        <v>0.1763110307414105</v>
      </c>
      <c r="H85">
        <v>0.16666666666666666</v>
      </c>
      <c r="I85">
        <v>0.168317783976147</v>
      </c>
      <c r="J85">
        <v>0.2</v>
      </c>
      <c r="K85">
        <v>0.42700287198415743</v>
      </c>
      <c r="L85">
        <v>0.34775932666060055</v>
      </c>
      <c r="M85">
        <v>0.340008281382991</v>
      </c>
      <c r="N85">
        <v>1</v>
      </c>
      <c r="P85" t="s">
        <v>103</v>
      </c>
      <c r="Q85">
        <v>42.877000000000002</v>
      </c>
    </row>
    <row r="86" spans="1:17" x14ac:dyDescent="0.3">
      <c r="A86">
        <v>0.30344827586206896</v>
      </c>
      <c r="B86">
        <v>0.38271604938271608</v>
      </c>
      <c r="C86">
        <v>0.35791757049891543</v>
      </c>
      <c r="D86">
        <v>0.37209302325581395</v>
      </c>
      <c r="E86">
        <v>1</v>
      </c>
      <c r="F86">
        <v>4.9115913555992145E-2</v>
      </c>
      <c r="G86">
        <v>2.2603978300180832E-2</v>
      </c>
      <c r="H86">
        <v>0.16666666666666666</v>
      </c>
      <c r="I86">
        <v>0.168317783976147</v>
      </c>
      <c r="J86">
        <v>0.27500000000000002</v>
      </c>
      <c r="K86">
        <v>5.6900538108223007E-2</v>
      </c>
      <c r="L86">
        <v>3.9264591186793193E-2</v>
      </c>
      <c r="M86">
        <v>7.5019361566714987E-2</v>
      </c>
      <c r="N86">
        <v>0</v>
      </c>
      <c r="P86">
        <v>4.9050000000000002</v>
      </c>
      <c r="Q86" t="s">
        <v>103</v>
      </c>
    </row>
    <row r="87" spans="1:17" x14ac:dyDescent="0.3">
      <c r="A87">
        <v>0.43103448275862066</v>
      </c>
      <c r="B87">
        <v>0.69135802469135799</v>
      </c>
      <c r="C87">
        <v>0.36225596529284165</v>
      </c>
      <c r="D87">
        <v>8.5271317829457363E-2</v>
      </c>
      <c r="E87">
        <v>1</v>
      </c>
      <c r="F87">
        <v>4.9115913555992145E-2</v>
      </c>
      <c r="G87">
        <v>5.8770343580470168E-2</v>
      </c>
      <c r="H87">
        <v>0.13333333333333333</v>
      </c>
      <c r="I87">
        <v>0.13224968740982976</v>
      </c>
      <c r="J87">
        <v>0.13500000000000001</v>
      </c>
      <c r="K87">
        <v>0.50654404573055889</v>
      </c>
      <c r="L87">
        <v>0.413054075133238</v>
      </c>
      <c r="M87">
        <v>0.39743353806752402</v>
      </c>
      <c r="N87">
        <v>1</v>
      </c>
      <c r="P87" t="s">
        <v>103</v>
      </c>
      <c r="Q87">
        <v>50.914000000000001</v>
      </c>
    </row>
    <row r="88" spans="1:17" x14ac:dyDescent="0.3">
      <c r="A88">
        <v>0.23965517241379311</v>
      </c>
      <c r="B88">
        <v>0.5679012345679012</v>
      </c>
      <c r="C88">
        <v>0.27331887201735355</v>
      </c>
      <c r="D88">
        <v>0.29457364341085268</v>
      </c>
      <c r="E88">
        <v>1</v>
      </c>
      <c r="F88">
        <v>9.8231827111984291E-2</v>
      </c>
      <c r="G88">
        <v>0.27124773960216997</v>
      </c>
      <c r="H88">
        <v>8.3333333333333329E-2</v>
      </c>
      <c r="I88">
        <v>0.13224968740982976</v>
      </c>
      <c r="J88">
        <v>0.105</v>
      </c>
      <c r="K88">
        <v>0.20051357021154531</v>
      </c>
      <c r="L88">
        <v>0.11771253087222151</v>
      </c>
      <c r="M88">
        <v>0.19731545168043066</v>
      </c>
      <c r="N88">
        <v>0</v>
      </c>
      <c r="P88">
        <v>14.561</v>
      </c>
      <c r="Q88" t="s">
        <v>103</v>
      </c>
    </row>
    <row r="89" spans="1:17" x14ac:dyDescent="0.3">
      <c r="A89">
        <v>0.27586206896551724</v>
      </c>
      <c r="B89">
        <v>0.19753086419753088</v>
      </c>
      <c r="C89">
        <v>0.33622559652928419</v>
      </c>
      <c r="D89">
        <v>0.25581395348837205</v>
      </c>
      <c r="E89">
        <v>1</v>
      </c>
      <c r="F89">
        <v>0.14734774066797643</v>
      </c>
      <c r="G89">
        <v>0.28933092224231466</v>
      </c>
      <c r="H89">
        <v>3.3333333333333333E-2</v>
      </c>
      <c r="I89">
        <v>0.54102144849475808</v>
      </c>
      <c r="J89">
        <v>0.185</v>
      </c>
      <c r="K89">
        <v>4.7265048540333934E-2</v>
      </c>
      <c r="L89">
        <v>0.14182536071753543</v>
      </c>
      <c r="M89">
        <v>1.5930160336776248E-2</v>
      </c>
      <c r="N89">
        <v>0</v>
      </c>
      <c r="P89">
        <v>17.529</v>
      </c>
      <c r="Q89" t="s">
        <v>103</v>
      </c>
    </row>
    <row r="90" spans="1:17" x14ac:dyDescent="0.3">
      <c r="A90">
        <v>0.13793103448275862</v>
      </c>
      <c r="B90">
        <v>0.32098765432098769</v>
      </c>
      <c r="C90">
        <v>0.33622559652928419</v>
      </c>
      <c r="D90">
        <v>0.16279069767441856</v>
      </c>
      <c r="E90">
        <v>1</v>
      </c>
      <c r="F90">
        <v>4.9115913555992145E-2</v>
      </c>
      <c r="G90">
        <v>2.2603978300180832E-2</v>
      </c>
      <c r="H90">
        <v>0.11666666666666667</v>
      </c>
      <c r="I90">
        <v>0.19236318168702515</v>
      </c>
      <c r="J90">
        <v>0.2475</v>
      </c>
      <c r="K90">
        <v>4.0898989794260869E-2</v>
      </c>
      <c r="L90">
        <v>5.0638567528922394E-2</v>
      </c>
      <c r="M90">
        <v>5.1900500716953069E-2</v>
      </c>
      <c r="N90">
        <v>0</v>
      </c>
      <c r="P90">
        <v>6.3049999999999997</v>
      </c>
      <c r="Q90" t="s">
        <v>103</v>
      </c>
    </row>
    <row r="91" spans="1:17" x14ac:dyDescent="0.3">
      <c r="A91">
        <v>0.32758620689655171</v>
      </c>
      <c r="B91">
        <v>0.5679012345679012</v>
      </c>
      <c r="C91">
        <v>0.34707158351409978</v>
      </c>
      <c r="D91">
        <v>0.29457364341085268</v>
      </c>
      <c r="E91">
        <v>1</v>
      </c>
      <c r="F91">
        <v>9.8231827111984291E-2</v>
      </c>
      <c r="G91">
        <v>0.2034358047016275</v>
      </c>
      <c r="H91">
        <v>0.13333333333333333</v>
      </c>
      <c r="I91">
        <v>0.19236318168702515</v>
      </c>
      <c r="J91">
        <v>0.1575</v>
      </c>
      <c r="K91">
        <v>0.30087749311380452</v>
      </c>
      <c r="L91">
        <v>0.36870369166774991</v>
      </c>
      <c r="M91">
        <v>0.19020726461319043</v>
      </c>
      <c r="N91">
        <v>1</v>
      </c>
      <c r="P91" t="s">
        <v>103</v>
      </c>
      <c r="Q91">
        <v>45.454999999999998</v>
      </c>
    </row>
    <row r="92" spans="1:17" x14ac:dyDescent="0.3">
      <c r="A92">
        <v>0.22413793103448276</v>
      </c>
      <c r="B92">
        <v>0.13580246913580249</v>
      </c>
      <c r="C92">
        <v>0.34707158351409978</v>
      </c>
      <c r="D92">
        <v>0.29457364341085268</v>
      </c>
      <c r="E92">
        <v>1</v>
      </c>
      <c r="F92">
        <v>4.9115913555992145E-2</v>
      </c>
      <c r="G92">
        <v>5.8770343580470168E-2</v>
      </c>
      <c r="H92">
        <v>8.3333333333333329E-2</v>
      </c>
      <c r="I92">
        <v>0.1803404828315861</v>
      </c>
      <c r="J92">
        <v>0.24</v>
      </c>
      <c r="K92">
        <v>8.83679457537144E-2</v>
      </c>
      <c r="L92">
        <v>0.15311809437150659</v>
      </c>
      <c r="M92">
        <v>5.6198385130316761E-2</v>
      </c>
      <c r="N92">
        <v>0</v>
      </c>
      <c r="P92">
        <v>18.919</v>
      </c>
      <c r="Q92" t="s">
        <v>103</v>
      </c>
    </row>
    <row r="93" spans="1:17" x14ac:dyDescent="0.3">
      <c r="A93">
        <v>0.17241379310344829</v>
      </c>
      <c r="B93">
        <v>0.32098765432098769</v>
      </c>
      <c r="C93">
        <v>0.32104121475054231</v>
      </c>
      <c r="D93">
        <v>0.1705426356589147</v>
      </c>
      <c r="E93">
        <v>1</v>
      </c>
      <c r="F93">
        <v>6.8762278978389005E-2</v>
      </c>
      <c r="G93">
        <v>3.6166365280289332E-2</v>
      </c>
      <c r="H93">
        <v>0.13333333333333333</v>
      </c>
      <c r="I93">
        <v>0.22843127825334233</v>
      </c>
      <c r="J93">
        <v>0.13500000000000001</v>
      </c>
      <c r="K93">
        <v>0.14422475436068111</v>
      </c>
      <c r="L93">
        <v>0.12466690497855194</v>
      </c>
      <c r="M93">
        <v>0.13158964213690352</v>
      </c>
      <c r="N93">
        <v>0</v>
      </c>
      <c r="P93">
        <v>15.417</v>
      </c>
      <c r="Q93" t="s">
        <v>103</v>
      </c>
    </row>
    <row r="94" spans="1:17" x14ac:dyDescent="0.3">
      <c r="A94">
        <v>5.1724137931034482E-2</v>
      </c>
      <c r="B94">
        <v>0.13580246913580249</v>
      </c>
      <c r="C94">
        <v>0.33839479392624727</v>
      </c>
      <c r="D94">
        <v>0.29457364341085268</v>
      </c>
      <c r="E94">
        <v>1</v>
      </c>
      <c r="F94">
        <v>6.8762278978389005E-2</v>
      </c>
      <c r="G94">
        <v>9.49367088607595E-2</v>
      </c>
      <c r="H94">
        <v>0.16666666666666666</v>
      </c>
      <c r="I94">
        <v>0.14427238626526884</v>
      </c>
      <c r="J94">
        <v>0.1875</v>
      </c>
      <c r="K94">
        <v>0.23083011055929384</v>
      </c>
      <c r="L94">
        <v>0.1496734043936046</v>
      </c>
      <c r="M94">
        <v>0.2158642159907371</v>
      </c>
      <c r="N94">
        <v>0</v>
      </c>
      <c r="P94">
        <v>18.495000000000001</v>
      </c>
      <c r="Q94" t="s">
        <v>103</v>
      </c>
    </row>
    <row r="95" spans="1:17" x14ac:dyDescent="0.3">
      <c r="A95">
        <v>0.21724137931034482</v>
      </c>
      <c r="B95">
        <v>0.44444444444444448</v>
      </c>
      <c r="C95">
        <v>0.29284164859002171</v>
      </c>
      <c r="D95">
        <v>0.34883720930232559</v>
      </c>
      <c r="E95">
        <v>1</v>
      </c>
      <c r="F95">
        <v>2.9469548133595286E-2</v>
      </c>
      <c r="G95">
        <v>6.3291139240506333E-2</v>
      </c>
      <c r="H95">
        <v>0.11666666666666667</v>
      </c>
      <c r="I95">
        <v>4.8090795421756288E-2</v>
      </c>
      <c r="J95">
        <v>0.21</v>
      </c>
      <c r="K95">
        <v>3.925736226745051E-2</v>
      </c>
      <c r="L95">
        <v>4.9354933056024959E-2</v>
      </c>
      <c r="M95">
        <v>5.0685131083557627E-2</v>
      </c>
      <c r="N95">
        <v>0</v>
      </c>
      <c r="P95">
        <v>6.1470000000000002</v>
      </c>
      <c r="Q95" t="s">
        <v>103</v>
      </c>
    </row>
    <row r="96" spans="1:17" x14ac:dyDescent="0.3">
      <c r="A96">
        <v>0.17241379310344829</v>
      </c>
      <c r="B96">
        <v>0.19753086419753088</v>
      </c>
      <c r="C96">
        <v>0.33622559652928419</v>
      </c>
      <c r="D96">
        <v>0.33333333333333331</v>
      </c>
      <c r="E96">
        <v>1</v>
      </c>
      <c r="F96">
        <v>6.8762278978389005E-2</v>
      </c>
      <c r="G96">
        <v>0.11754068716094034</v>
      </c>
      <c r="H96">
        <v>1.6666666666666666E-2</v>
      </c>
      <c r="I96">
        <v>0.32461286909685488</v>
      </c>
      <c r="J96">
        <v>0.16250000000000001</v>
      </c>
      <c r="K96">
        <v>2.8301658562210775E-2</v>
      </c>
      <c r="L96">
        <v>0.10975887170154688</v>
      </c>
      <c r="M96">
        <v>1.0025840982110675E-2</v>
      </c>
      <c r="N96">
        <v>0</v>
      </c>
      <c r="P96">
        <v>13.582000000000001</v>
      </c>
      <c r="Q96" t="s">
        <v>103</v>
      </c>
    </row>
    <row r="97" spans="1:17" x14ac:dyDescent="0.3">
      <c r="A97">
        <v>0.2413793103448276</v>
      </c>
      <c r="B97">
        <v>0.19753086419753088</v>
      </c>
      <c r="C97">
        <v>0.35791757049891543</v>
      </c>
      <c r="D97">
        <v>0.13953488372093023</v>
      </c>
      <c r="E97">
        <v>1</v>
      </c>
      <c r="F97">
        <v>0.1669941060903733</v>
      </c>
      <c r="G97">
        <v>0.24412296564195299</v>
      </c>
      <c r="H97">
        <v>0.1</v>
      </c>
      <c r="I97">
        <v>0.33663556795229393</v>
      </c>
      <c r="J97">
        <v>0.28499999999999998</v>
      </c>
      <c r="K97">
        <v>5.4412176383373596E-2</v>
      </c>
      <c r="L97">
        <v>0.15667652411282987</v>
      </c>
      <c r="M97">
        <v>1.6850314002438409E-2</v>
      </c>
      <c r="N97">
        <v>0</v>
      </c>
      <c r="P97">
        <v>19.356999999999999</v>
      </c>
      <c r="Q97" t="s">
        <v>103</v>
      </c>
    </row>
    <row r="98" spans="1:17" x14ac:dyDescent="0.3">
      <c r="A98">
        <v>0.10344827586206896</v>
      </c>
      <c r="B98">
        <v>0.2592592592592593</v>
      </c>
      <c r="C98">
        <v>0.35574837310195229</v>
      </c>
      <c r="D98">
        <v>0.17829457364341084</v>
      </c>
      <c r="E98">
        <v>1</v>
      </c>
      <c r="F98">
        <v>6.8762278978389005E-2</v>
      </c>
      <c r="G98">
        <v>0.14918625678119349</v>
      </c>
      <c r="H98">
        <v>8.3333333333333329E-2</v>
      </c>
      <c r="I98">
        <v>0.168317783976147</v>
      </c>
      <c r="J98">
        <v>0.13750000000000001</v>
      </c>
      <c r="K98">
        <v>0.27139386273229033</v>
      </c>
      <c r="L98">
        <v>0.22591966722994933</v>
      </c>
      <c r="M98">
        <v>0.2248817219142264</v>
      </c>
      <c r="N98">
        <v>0</v>
      </c>
      <c r="P98">
        <v>27.88</v>
      </c>
      <c r="Q98" t="s">
        <v>103</v>
      </c>
    </row>
    <row r="99" spans="1:17" x14ac:dyDescent="0.3">
      <c r="A99">
        <v>0.27586206896551724</v>
      </c>
      <c r="B99">
        <v>0.38271604938271608</v>
      </c>
      <c r="C99">
        <v>0</v>
      </c>
      <c r="D99">
        <v>0.37209302325581395</v>
      </c>
      <c r="E99">
        <v>1</v>
      </c>
      <c r="F99">
        <v>0.206286836935167</v>
      </c>
      <c r="G99">
        <v>0.22151898734177217</v>
      </c>
      <c r="H99">
        <v>0.21666666666666667</v>
      </c>
      <c r="I99">
        <v>0.31259017024141583</v>
      </c>
      <c r="J99">
        <v>0</v>
      </c>
      <c r="K99">
        <v>7.6828168254725326E-3</v>
      </c>
      <c r="L99">
        <v>3.9240218380345769E-2</v>
      </c>
      <c r="M99">
        <v>2.0431245351307005E-2</v>
      </c>
      <c r="N99">
        <v>0</v>
      </c>
      <c r="P99">
        <v>4.9020000000000001</v>
      </c>
      <c r="Q99" t="s">
        <v>103</v>
      </c>
    </row>
    <row r="100" spans="1:17" x14ac:dyDescent="0.3">
      <c r="A100">
        <v>0.22413793103448276</v>
      </c>
      <c r="B100">
        <v>0.5679012345679012</v>
      </c>
      <c r="C100">
        <v>0.3232104121475054</v>
      </c>
      <c r="D100">
        <v>0.47286821705426352</v>
      </c>
      <c r="E100">
        <v>1</v>
      </c>
      <c r="F100">
        <v>9.8231827111984291E-2</v>
      </c>
      <c r="G100">
        <v>0.18535262206148284</v>
      </c>
      <c r="H100">
        <v>0.15</v>
      </c>
      <c r="I100">
        <v>0.168317783976147</v>
      </c>
      <c r="J100">
        <v>0.13500000000000001</v>
      </c>
      <c r="K100">
        <v>0.20177848742167709</v>
      </c>
      <c r="L100">
        <v>3.7062914337709613E-2</v>
      </c>
      <c r="M100">
        <v>0.2367785420165168</v>
      </c>
      <c r="N100">
        <v>0</v>
      </c>
      <c r="P100">
        <v>4.6340000000000003</v>
      </c>
      <c r="Q100" t="s">
        <v>103</v>
      </c>
    </row>
    <row r="101" spans="1:17" x14ac:dyDescent="0.3">
      <c r="A101">
        <v>0.11724137931034483</v>
      </c>
      <c r="B101">
        <v>0.2592592592592593</v>
      </c>
      <c r="C101">
        <v>0.36876355748373102</v>
      </c>
      <c r="D101">
        <v>0.3410852713178294</v>
      </c>
      <c r="E101">
        <v>1</v>
      </c>
      <c r="F101">
        <v>0.14734774066797643</v>
      </c>
      <c r="G101">
        <v>0.26672694394213381</v>
      </c>
      <c r="H101">
        <v>3.3333333333333333E-2</v>
      </c>
      <c r="I101">
        <v>0.45686255650668467</v>
      </c>
      <c r="J101">
        <v>0.24249999999999999</v>
      </c>
      <c r="K101">
        <v>2.3978130065284944E-2</v>
      </c>
      <c r="L101">
        <v>0.11529962303392695</v>
      </c>
      <c r="M101">
        <v>2.6147699999233293E-3</v>
      </c>
      <c r="N101">
        <v>0</v>
      </c>
      <c r="P101">
        <v>14.263999999999999</v>
      </c>
      <c r="Q101" t="s">
        <v>103</v>
      </c>
    </row>
    <row r="102" spans="1:17" x14ac:dyDescent="0.3">
      <c r="A102">
        <v>0.22413793103448276</v>
      </c>
      <c r="B102">
        <v>0.62962962962962965</v>
      </c>
      <c r="C102">
        <v>0.34707158351409978</v>
      </c>
      <c r="D102">
        <v>0.29457364341085268</v>
      </c>
      <c r="E102">
        <v>1</v>
      </c>
      <c r="F102">
        <v>9.8231827111984291E-2</v>
      </c>
      <c r="G102">
        <v>0.18535262206148284</v>
      </c>
      <c r="H102">
        <v>0.15</v>
      </c>
      <c r="I102">
        <v>0.19236318168702515</v>
      </c>
      <c r="J102">
        <v>0.155</v>
      </c>
      <c r="K102">
        <v>0.35519981199044748</v>
      </c>
      <c r="L102">
        <v>0.44668854803067726</v>
      </c>
      <c r="M102">
        <v>0.21366734911396873</v>
      </c>
      <c r="N102">
        <v>1</v>
      </c>
      <c r="P102" t="s">
        <v>103</v>
      </c>
      <c r="Q102">
        <v>55.054000000000002</v>
      </c>
    </row>
    <row r="103" spans="1:17" x14ac:dyDescent="0.3">
      <c r="A103">
        <v>0.20689655172413793</v>
      </c>
      <c r="B103">
        <v>0.2592592592592593</v>
      </c>
      <c r="C103">
        <v>0.32537960954446854</v>
      </c>
      <c r="D103">
        <v>0.52713178294573637</v>
      </c>
      <c r="E103">
        <v>1</v>
      </c>
      <c r="F103">
        <v>4.9115913555992145E-2</v>
      </c>
      <c r="G103">
        <v>0.10397830018083183</v>
      </c>
      <c r="H103">
        <v>6.6666666666666666E-2</v>
      </c>
      <c r="I103">
        <v>0.15629508512070789</v>
      </c>
      <c r="J103">
        <v>0.1225</v>
      </c>
      <c r="K103">
        <v>0.19552647858799299</v>
      </c>
      <c r="L103">
        <v>6.0103340699337059E-2</v>
      </c>
      <c r="M103">
        <v>0.21896973461234698</v>
      </c>
      <c r="N103">
        <v>0</v>
      </c>
      <c r="P103">
        <v>7.47</v>
      </c>
      <c r="Q103" t="s">
        <v>103</v>
      </c>
    </row>
    <row r="104" spans="1:17" x14ac:dyDescent="0.3">
      <c r="A104">
        <v>0.23103448275862068</v>
      </c>
      <c r="B104">
        <v>0.32098765432098769</v>
      </c>
      <c r="C104">
        <v>0.35791757049891543</v>
      </c>
      <c r="D104">
        <v>0.24806201550387594</v>
      </c>
      <c r="E104">
        <v>1</v>
      </c>
      <c r="F104">
        <v>1.9646365422396856E-2</v>
      </c>
      <c r="G104">
        <v>0.11301989150090416</v>
      </c>
      <c r="H104">
        <v>1.6666666666666666E-2</v>
      </c>
      <c r="I104">
        <v>8.4158891988073484E-2</v>
      </c>
      <c r="J104">
        <v>2.5000000000000001E-3</v>
      </c>
      <c r="K104">
        <v>0.57143844587986048</v>
      </c>
      <c r="L104">
        <v>0</v>
      </c>
      <c r="M104">
        <v>0.66435094660808369</v>
      </c>
      <c r="N104">
        <v>0</v>
      </c>
      <c r="P104">
        <v>7.1999999999999995E-2</v>
      </c>
      <c r="Q104" t="s">
        <v>103</v>
      </c>
    </row>
    <row r="105" spans="1:17" x14ac:dyDescent="0.3">
      <c r="A105">
        <v>0.16551724137931034</v>
      </c>
      <c r="B105">
        <v>0.38271604938271608</v>
      </c>
      <c r="C105">
        <v>0.35791757049891543</v>
      </c>
      <c r="D105">
        <v>0.19379844961240308</v>
      </c>
      <c r="E105">
        <v>1</v>
      </c>
      <c r="F105">
        <v>2.9469548133595286E-2</v>
      </c>
      <c r="G105">
        <v>0</v>
      </c>
      <c r="H105">
        <v>0.05</v>
      </c>
      <c r="I105">
        <v>0.1803404828315861</v>
      </c>
      <c r="J105">
        <v>0.26</v>
      </c>
      <c r="K105">
        <v>3.4090555630436815E-2</v>
      </c>
      <c r="L105">
        <v>8.7287144157025889E-2</v>
      </c>
      <c r="M105">
        <v>2.7052517770467667E-2</v>
      </c>
      <c r="N105">
        <v>0</v>
      </c>
      <c r="P105">
        <v>10.816000000000001</v>
      </c>
      <c r="Q105" t="s">
        <v>103</v>
      </c>
    </row>
    <row r="106" spans="1:17" x14ac:dyDescent="0.3">
      <c r="A106">
        <v>0.25862068965517243</v>
      </c>
      <c r="B106">
        <v>0.38271604938271608</v>
      </c>
      <c r="C106">
        <v>0.33622559652928419</v>
      </c>
      <c r="D106">
        <v>0.20155038759689919</v>
      </c>
      <c r="E106">
        <v>1</v>
      </c>
      <c r="F106">
        <v>0.14734774066797643</v>
      </c>
      <c r="G106">
        <v>0.53345388788426762</v>
      </c>
      <c r="H106">
        <v>0</v>
      </c>
      <c r="I106">
        <v>0.40877176108492841</v>
      </c>
      <c r="J106">
        <v>0.19</v>
      </c>
      <c r="K106">
        <v>8.4438407863223056E-2</v>
      </c>
      <c r="L106">
        <v>0.15103828155466009</v>
      </c>
      <c r="M106">
        <v>5.2820654382615226E-2</v>
      </c>
      <c r="N106">
        <v>0</v>
      </c>
      <c r="P106">
        <v>18.663</v>
      </c>
      <c r="Q106" t="s">
        <v>103</v>
      </c>
    </row>
    <row r="107" spans="1:17" x14ac:dyDescent="0.3">
      <c r="A107">
        <v>0.57068965517241377</v>
      </c>
      <c r="B107">
        <v>0.32098765432098769</v>
      </c>
      <c r="C107">
        <v>0</v>
      </c>
      <c r="D107">
        <v>0.34883720930232559</v>
      </c>
      <c r="E107">
        <v>1</v>
      </c>
      <c r="F107">
        <v>0.14734774066797643</v>
      </c>
      <c r="G107">
        <v>0.24864376130198917</v>
      </c>
      <c r="H107">
        <v>6.6666666666666666E-2</v>
      </c>
      <c r="I107">
        <v>0.168317783976147</v>
      </c>
      <c r="J107">
        <v>0</v>
      </c>
      <c r="K107">
        <v>0.10400315192485149</v>
      </c>
      <c r="L107">
        <v>0.2523479136877681</v>
      </c>
      <c r="M107">
        <v>2.6715128093058212E-2</v>
      </c>
      <c r="N107">
        <v>0</v>
      </c>
      <c r="P107">
        <v>31.132999999999999</v>
      </c>
      <c r="Q107" t="s">
        <v>103</v>
      </c>
    </row>
    <row r="108" spans="1:17" x14ac:dyDescent="0.3">
      <c r="A108">
        <v>0.77586206896551724</v>
      </c>
      <c r="B108">
        <v>0.32098765432098769</v>
      </c>
      <c r="C108">
        <v>0.34273318872017355</v>
      </c>
      <c r="D108">
        <v>0.25581395348837205</v>
      </c>
      <c r="E108">
        <v>1</v>
      </c>
      <c r="F108">
        <v>9.8231827111984291E-2</v>
      </c>
      <c r="G108">
        <v>0.24412296564195299</v>
      </c>
      <c r="H108">
        <v>0.05</v>
      </c>
      <c r="I108">
        <v>0.24045397710878139</v>
      </c>
      <c r="J108">
        <v>0.27</v>
      </c>
      <c r="K108">
        <v>0.14175712898353879</v>
      </c>
      <c r="L108">
        <v>0.30141037306642399</v>
      </c>
      <c r="M108">
        <v>4.5444089162890215E-2</v>
      </c>
      <c r="N108">
        <v>1</v>
      </c>
      <c r="P108" t="s">
        <v>103</v>
      </c>
      <c r="Q108">
        <v>37.171999999999997</v>
      </c>
    </row>
    <row r="109" spans="1:17" x14ac:dyDescent="0.3">
      <c r="A109">
        <v>0.55172413793103448</v>
      </c>
      <c r="B109">
        <v>0.19753086419753088</v>
      </c>
      <c r="C109">
        <v>0.34273318872017355</v>
      </c>
      <c r="D109">
        <v>0.19379844961240308</v>
      </c>
      <c r="E109">
        <v>1</v>
      </c>
      <c r="F109">
        <v>9.823182711198428E-3</v>
      </c>
      <c r="G109">
        <v>6.3291139240506333E-2</v>
      </c>
      <c r="H109">
        <v>0</v>
      </c>
      <c r="I109">
        <v>0</v>
      </c>
      <c r="J109">
        <v>0.28749999999999998</v>
      </c>
      <c r="K109">
        <v>5.7311809004413398E-2</v>
      </c>
      <c r="L109">
        <v>0.16346028857402836</v>
      </c>
      <c r="M109">
        <v>1.6865649896866116E-2</v>
      </c>
      <c r="N109">
        <v>0</v>
      </c>
      <c r="P109">
        <v>20.192</v>
      </c>
      <c r="Q109" t="s">
        <v>103</v>
      </c>
    </row>
    <row r="110" spans="1:17" x14ac:dyDescent="0.3">
      <c r="A110">
        <v>0.5913793103448276</v>
      </c>
      <c r="B110">
        <v>7.407407407407407E-2</v>
      </c>
      <c r="C110">
        <v>0.34707158351409978</v>
      </c>
      <c r="D110">
        <v>0.34883720930232559</v>
      </c>
      <c r="E110">
        <v>1</v>
      </c>
      <c r="F110">
        <v>6.8762278978389005E-2</v>
      </c>
      <c r="G110">
        <v>0.15370705244122967</v>
      </c>
      <c r="H110">
        <v>1.6666666666666666E-2</v>
      </c>
      <c r="I110">
        <v>0.28854477253053767</v>
      </c>
      <c r="J110">
        <v>0.215</v>
      </c>
      <c r="K110">
        <v>0.34427866886471953</v>
      </c>
      <c r="L110">
        <v>0.35086279734823866</v>
      </c>
      <c r="M110">
        <v>0.2467737112097721</v>
      </c>
      <c r="N110">
        <v>1</v>
      </c>
      <c r="P110" t="s">
        <v>103</v>
      </c>
      <c r="Q110">
        <v>43.259</v>
      </c>
    </row>
    <row r="111" spans="1:17" x14ac:dyDescent="0.3">
      <c r="A111">
        <v>0.43103448275862066</v>
      </c>
      <c r="B111">
        <v>0.44444444444444448</v>
      </c>
      <c r="C111">
        <v>0.34056399132321041</v>
      </c>
      <c r="D111">
        <v>0.13953488372093023</v>
      </c>
      <c r="E111">
        <v>1</v>
      </c>
      <c r="F111">
        <v>0.14734774066797643</v>
      </c>
      <c r="G111">
        <v>0.33905967450271252</v>
      </c>
      <c r="H111">
        <v>0.05</v>
      </c>
      <c r="I111">
        <v>0.32461286909685488</v>
      </c>
      <c r="J111">
        <v>0.21</v>
      </c>
      <c r="K111">
        <v>4.0415141681095709E-2</v>
      </c>
      <c r="L111">
        <v>0.14101293383595476</v>
      </c>
      <c r="M111">
        <v>8.7146220085420924E-3</v>
      </c>
      <c r="N111">
        <v>0</v>
      </c>
      <c r="P111">
        <v>17.428999999999998</v>
      </c>
      <c r="Q111" t="s">
        <v>103</v>
      </c>
    </row>
    <row r="112" spans="1:17" x14ac:dyDescent="0.3">
      <c r="A112">
        <v>0.58620689655172409</v>
      </c>
      <c r="B112">
        <v>0.32098765432098769</v>
      </c>
      <c r="C112">
        <v>0.31453362255965295</v>
      </c>
      <c r="D112">
        <v>0.13953488372093023</v>
      </c>
      <c r="E112">
        <v>1</v>
      </c>
      <c r="F112">
        <v>9.8231827111984291E-2</v>
      </c>
      <c r="G112">
        <v>0.12658227848101267</v>
      </c>
      <c r="H112">
        <v>8.3333333333333329E-2</v>
      </c>
      <c r="I112">
        <v>0.33663556795229393</v>
      </c>
      <c r="J112">
        <v>0.2175</v>
      </c>
      <c r="K112">
        <v>0.30251220852471256</v>
      </c>
      <c r="L112">
        <v>0.36681886130248276</v>
      </c>
      <c r="M112">
        <v>0.19291021600607303</v>
      </c>
      <c r="N112">
        <v>1</v>
      </c>
      <c r="P112" t="s">
        <v>103</v>
      </c>
      <c r="Q112">
        <v>45.222999999999999</v>
      </c>
    </row>
    <row r="113" spans="1:17" x14ac:dyDescent="0.3">
      <c r="A113">
        <v>0.82758620689655171</v>
      </c>
      <c r="B113">
        <v>0.32098765432098769</v>
      </c>
      <c r="C113">
        <v>0.32971800433839482</v>
      </c>
      <c r="D113">
        <v>0.25581395348837205</v>
      </c>
      <c r="E113">
        <v>1</v>
      </c>
      <c r="F113">
        <v>6.8762278978389005E-2</v>
      </c>
      <c r="G113">
        <v>0.16726943942133815</v>
      </c>
      <c r="H113">
        <v>6.6666666666666666E-2</v>
      </c>
      <c r="I113">
        <v>0.19236318168702515</v>
      </c>
      <c r="J113">
        <v>0.1275</v>
      </c>
      <c r="K113">
        <v>0.11203157454544198</v>
      </c>
      <c r="L113">
        <v>9.8474262316391531E-2</v>
      </c>
      <c r="M113">
        <v>0.10823690889711918</v>
      </c>
      <c r="N113">
        <v>0</v>
      </c>
      <c r="P113">
        <v>12.193</v>
      </c>
      <c r="Q113" t="s">
        <v>103</v>
      </c>
    </row>
    <row r="114" spans="1:17" x14ac:dyDescent="0.3">
      <c r="A114">
        <v>0.81034482758620685</v>
      </c>
      <c r="B114">
        <v>7.407407407407407E-2</v>
      </c>
      <c r="C114">
        <v>0.35791757049891543</v>
      </c>
      <c r="D114">
        <v>0.25581395348837205</v>
      </c>
      <c r="E114">
        <v>1</v>
      </c>
      <c r="F114">
        <v>5.8939096267190572E-2</v>
      </c>
      <c r="G114">
        <v>5.8770343580470168E-2</v>
      </c>
      <c r="H114">
        <v>0.1</v>
      </c>
      <c r="I114">
        <v>0.22843127825334233</v>
      </c>
      <c r="J114">
        <v>0.27250000000000002</v>
      </c>
      <c r="K114">
        <v>0.40472512243085296</v>
      </c>
      <c r="L114">
        <v>0.14144352008319253</v>
      </c>
      <c r="M114">
        <v>0.41265824726062594</v>
      </c>
      <c r="N114">
        <v>0</v>
      </c>
      <c r="P114">
        <v>17.481999999999999</v>
      </c>
      <c r="Q114" t="s">
        <v>103</v>
      </c>
    </row>
    <row r="115" spans="1:17" x14ac:dyDescent="0.3">
      <c r="A115">
        <v>0.58103448275862069</v>
      </c>
      <c r="B115">
        <v>0.44444444444444448</v>
      </c>
      <c r="C115">
        <v>0.34707158351409978</v>
      </c>
      <c r="D115">
        <v>0.32558139534883723</v>
      </c>
      <c r="E115">
        <v>1</v>
      </c>
      <c r="F115">
        <v>6.8762278978389005E-2</v>
      </c>
      <c r="G115">
        <v>0.15370705244122967</v>
      </c>
      <c r="H115">
        <v>0.05</v>
      </c>
      <c r="I115">
        <v>0.25247667596422052</v>
      </c>
      <c r="J115">
        <v>0.22</v>
      </c>
      <c r="K115">
        <v>0.14517517029725555</v>
      </c>
      <c r="L115">
        <v>0.11980859222669962</v>
      </c>
      <c r="M115">
        <v>0.13493670109574968</v>
      </c>
      <c r="N115">
        <v>0</v>
      </c>
      <c r="P115">
        <v>14.819000000000001</v>
      </c>
      <c r="Q115" t="s">
        <v>103</v>
      </c>
    </row>
    <row r="116" spans="1:17" x14ac:dyDescent="0.3">
      <c r="A116">
        <v>0.25862068965517243</v>
      </c>
      <c r="B116">
        <v>0.81481481481481477</v>
      </c>
      <c r="C116">
        <v>0.36876355748373102</v>
      </c>
      <c r="D116">
        <v>8.5271317829457363E-2</v>
      </c>
      <c r="E116">
        <v>1</v>
      </c>
      <c r="F116">
        <v>0.14734774066797643</v>
      </c>
      <c r="G116">
        <v>0.28933092224231466</v>
      </c>
      <c r="H116">
        <v>0.13333333333333333</v>
      </c>
      <c r="I116">
        <v>0.27652207367509857</v>
      </c>
      <c r="J116">
        <v>0.185</v>
      </c>
      <c r="K116">
        <v>0.70402665311891954</v>
      </c>
      <c r="L116">
        <v>0.25123488886000261</v>
      </c>
      <c r="M116">
        <v>0.69287571024361072</v>
      </c>
      <c r="N116">
        <v>0</v>
      </c>
      <c r="P116">
        <v>30.995999999999999</v>
      </c>
      <c r="Q116" t="s">
        <v>103</v>
      </c>
    </row>
    <row r="117" spans="1:17" x14ac:dyDescent="0.3">
      <c r="A117">
        <v>0.53448275862068961</v>
      </c>
      <c r="B117">
        <v>0.13580246913580249</v>
      </c>
      <c r="C117">
        <v>0.32537960954446854</v>
      </c>
      <c r="D117">
        <v>0.21705426356589144</v>
      </c>
      <c r="E117">
        <v>1</v>
      </c>
      <c r="F117">
        <v>4.9115913555992145E-2</v>
      </c>
      <c r="G117">
        <v>5.4249547920434002E-2</v>
      </c>
      <c r="H117">
        <v>0.13333333333333333</v>
      </c>
      <c r="I117">
        <v>0.21640857939790326</v>
      </c>
      <c r="J117">
        <v>0.27250000000000002</v>
      </c>
      <c r="K117">
        <v>0.32613436462102596</v>
      </c>
      <c r="L117">
        <v>0.18072435980761734</v>
      </c>
      <c r="M117">
        <v>0.30693642504965007</v>
      </c>
      <c r="N117">
        <v>0</v>
      </c>
      <c r="P117">
        <v>22.317</v>
      </c>
      <c r="Q117" t="s">
        <v>103</v>
      </c>
    </row>
    <row r="118" spans="1:17" x14ac:dyDescent="0.3">
      <c r="A118">
        <v>0.58448275862068966</v>
      </c>
      <c r="B118">
        <v>0.5679012345679012</v>
      </c>
      <c r="C118">
        <v>0.36659436008676788</v>
      </c>
      <c r="D118">
        <v>5.4263565891472861E-2</v>
      </c>
      <c r="E118">
        <v>1</v>
      </c>
      <c r="F118">
        <v>9.8231827111984291E-2</v>
      </c>
      <c r="G118">
        <v>0.21247739602169982</v>
      </c>
      <c r="H118">
        <v>0.1</v>
      </c>
      <c r="I118">
        <v>0.22843127825334233</v>
      </c>
      <c r="J118">
        <v>0.1825</v>
      </c>
      <c r="K118">
        <v>0.46685813227716205</v>
      </c>
      <c r="L118">
        <v>0.28419504744572988</v>
      </c>
      <c r="M118">
        <v>0.41421867451864475</v>
      </c>
      <c r="N118">
        <v>0</v>
      </c>
      <c r="P118">
        <v>35.052999999999997</v>
      </c>
      <c r="Q118" t="s">
        <v>103</v>
      </c>
    </row>
    <row r="119" spans="1:17" x14ac:dyDescent="0.3">
      <c r="A119">
        <v>0.53103448275862064</v>
      </c>
      <c r="B119">
        <v>0.93827160493827155</v>
      </c>
      <c r="C119">
        <v>0.36659436008676788</v>
      </c>
      <c r="D119">
        <v>8.5271317829457363E-2</v>
      </c>
      <c r="E119">
        <v>1</v>
      </c>
      <c r="F119">
        <v>0.14734774066797643</v>
      </c>
      <c r="G119">
        <v>0.35262206148282099</v>
      </c>
      <c r="H119">
        <v>0.11666666666666667</v>
      </c>
      <c r="I119">
        <v>0.22843127825334233</v>
      </c>
      <c r="J119">
        <v>0.1225</v>
      </c>
      <c r="K119">
        <v>0.80074789094063525</v>
      </c>
      <c r="L119">
        <v>0.47929123878850904</v>
      </c>
      <c r="M119">
        <v>0.69254982248702202</v>
      </c>
      <c r="N119">
        <v>1</v>
      </c>
      <c r="P119" t="s">
        <v>103</v>
      </c>
      <c r="Q119">
        <v>59.067</v>
      </c>
    </row>
    <row r="120" spans="1:17" x14ac:dyDescent="0.3">
      <c r="A120">
        <v>0.56896551724137934</v>
      </c>
      <c r="B120">
        <v>0.13580246913580249</v>
      </c>
      <c r="C120">
        <v>0.32104121475054231</v>
      </c>
      <c r="D120">
        <v>1</v>
      </c>
      <c r="E120">
        <v>1</v>
      </c>
      <c r="F120">
        <v>9.8231827111984291E-2</v>
      </c>
      <c r="G120">
        <v>0.25768535262206149</v>
      </c>
      <c r="H120">
        <v>0.11666666666666667</v>
      </c>
      <c r="I120">
        <v>0.19236318168702515</v>
      </c>
      <c r="J120">
        <v>0.17249999999999999</v>
      </c>
      <c r="K120">
        <v>1</v>
      </c>
      <c r="L120">
        <v>0.29618646821786043</v>
      </c>
      <c r="M120">
        <v>1</v>
      </c>
      <c r="N120">
        <v>1</v>
      </c>
      <c r="P120" t="s">
        <v>103</v>
      </c>
      <c r="Q120">
        <v>36.529000000000003</v>
      </c>
    </row>
    <row r="121" spans="1:17" x14ac:dyDescent="0.3">
      <c r="A121">
        <v>0.55172413793103448</v>
      </c>
      <c r="B121">
        <v>0.50617283950617287</v>
      </c>
      <c r="C121">
        <v>0</v>
      </c>
      <c r="D121">
        <v>8.5271317829457363E-2</v>
      </c>
      <c r="E121">
        <v>1</v>
      </c>
      <c r="F121">
        <v>4.9115913555992145E-2</v>
      </c>
      <c r="G121">
        <v>6.3291139240506333E-2</v>
      </c>
      <c r="H121">
        <v>8.3333333333333329E-2</v>
      </c>
      <c r="I121">
        <v>0.19236318168702515</v>
      </c>
      <c r="J121">
        <v>0</v>
      </c>
      <c r="K121">
        <v>0.34819092646545496</v>
      </c>
      <c r="L121">
        <v>0.18219485246327832</v>
      </c>
      <c r="M121">
        <v>0.33071089538619614</v>
      </c>
      <c r="N121">
        <v>0</v>
      </c>
      <c r="P121">
        <v>22.498000000000001</v>
      </c>
      <c r="Q121" t="s">
        <v>103</v>
      </c>
    </row>
    <row r="122" spans="1:17" x14ac:dyDescent="0.3">
      <c r="A122">
        <v>0.51724137931034486</v>
      </c>
      <c r="B122">
        <v>0.32098765432098769</v>
      </c>
      <c r="C122">
        <v>0.35791757049891543</v>
      </c>
      <c r="D122">
        <v>0.20155038759689919</v>
      </c>
      <c r="E122">
        <v>1</v>
      </c>
      <c r="F122">
        <v>4.9115913555992145E-2</v>
      </c>
      <c r="G122">
        <v>6.3291139240506333E-2</v>
      </c>
      <c r="H122">
        <v>8.3333333333333329E-2</v>
      </c>
      <c r="I122">
        <v>0.13224968740982976</v>
      </c>
      <c r="J122">
        <v>0.16500000000000001</v>
      </c>
      <c r="K122">
        <v>0.51111641039996958</v>
      </c>
      <c r="L122">
        <v>0.10698849603535683</v>
      </c>
      <c r="M122">
        <v>0.54694317284319827</v>
      </c>
      <c r="N122">
        <v>0</v>
      </c>
      <c r="P122">
        <v>13.241</v>
      </c>
      <c r="Q122" t="s">
        <v>103</v>
      </c>
    </row>
    <row r="123" spans="1:17" x14ac:dyDescent="0.3">
      <c r="A123">
        <v>0.34482758620689657</v>
      </c>
      <c r="B123">
        <v>0.5679012345679012</v>
      </c>
      <c r="C123">
        <v>0.32537960954446854</v>
      </c>
      <c r="D123">
        <v>8.5271317829457363E-2</v>
      </c>
      <c r="E123">
        <v>1</v>
      </c>
      <c r="F123">
        <v>6.8762278978389005E-2</v>
      </c>
      <c r="G123">
        <v>7.2332730560578665E-2</v>
      </c>
      <c r="H123">
        <v>0.15</v>
      </c>
      <c r="I123">
        <v>0.168317783976147</v>
      </c>
      <c r="J123">
        <v>0.26500000000000001</v>
      </c>
      <c r="K123">
        <v>0.45253277206952208</v>
      </c>
      <c r="L123">
        <v>0.21653613674769273</v>
      </c>
      <c r="M123">
        <v>0.43025618611641486</v>
      </c>
      <c r="N123">
        <v>0</v>
      </c>
      <c r="P123">
        <v>26.725000000000001</v>
      </c>
      <c r="Q123" t="s">
        <v>103</v>
      </c>
    </row>
    <row r="124" spans="1:17" x14ac:dyDescent="0.3">
      <c r="A124">
        <v>0.53448275862068961</v>
      </c>
      <c r="B124">
        <v>0.19753086419753088</v>
      </c>
      <c r="C124">
        <v>0.32537960954446854</v>
      </c>
      <c r="D124">
        <v>0.10077519379844961</v>
      </c>
      <c r="E124">
        <v>1</v>
      </c>
      <c r="F124">
        <v>0</v>
      </c>
      <c r="G124">
        <v>8.5895117540687169E-2</v>
      </c>
      <c r="H124">
        <v>0.1</v>
      </c>
      <c r="I124">
        <v>0.15629508512070789</v>
      </c>
      <c r="J124">
        <v>0.08</v>
      </c>
      <c r="K124">
        <v>0.27230971808935295</v>
      </c>
      <c r="L124">
        <v>5.9177174054335112E-2</v>
      </c>
      <c r="M124">
        <v>0.30458619922860464</v>
      </c>
      <c r="N124">
        <v>0</v>
      </c>
      <c r="P124">
        <v>7.3559999999999999</v>
      </c>
      <c r="Q124" t="s">
        <v>103</v>
      </c>
    </row>
    <row r="125" spans="1:17" x14ac:dyDescent="0.3">
      <c r="A125">
        <v>0.20172413793103447</v>
      </c>
      <c r="B125">
        <v>0.2592592592592593</v>
      </c>
      <c r="C125">
        <v>0.39045553145336226</v>
      </c>
      <c r="D125">
        <v>0.17829457364341084</v>
      </c>
      <c r="E125">
        <v>1</v>
      </c>
      <c r="F125">
        <v>4.9115913555992145E-2</v>
      </c>
      <c r="G125">
        <v>0.11301989150090416</v>
      </c>
      <c r="H125">
        <v>0.05</v>
      </c>
      <c r="I125">
        <v>0.2043858805424642</v>
      </c>
      <c r="J125">
        <v>0.1925</v>
      </c>
      <c r="K125">
        <v>0.17298261257244765</v>
      </c>
      <c r="L125">
        <v>0.12954146626803589</v>
      </c>
      <c r="M125">
        <v>0.1611917523559768</v>
      </c>
      <c r="N125">
        <v>0</v>
      </c>
      <c r="P125">
        <v>16.016999999999999</v>
      </c>
      <c r="Q125" t="s">
        <v>103</v>
      </c>
    </row>
    <row r="126" spans="1:17" x14ac:dyDescent="0.3">
      <c r="A126">
        <v>0</v>
      </c>
      <c r="B126">
        <v>0.2592592592592593</v>
      </c>
      <c r="C126">
        <v>0.32537960954446854</v>
      </c>
      <c r="D126">
        <v>0.17829457364341084</v>
      </c>
      <c r="E126">
        <v>1</v>
      </c>
      <c r="F126">
        <v>4.9115913555992145E-2</v>
      </c>
      <c r="G126">
        <v>9.49367088607595E-2</v>
      </c>
      <c r="H126">
        <v>3.3333333333333333E-2</v>
      </c>
      <c r="I126">
        <v>0.2043858805424642</v>
      </c>
      <c r="J126">
        <v>0.1875</v>
      </c>
      <c r="K126">
        <v>5.8203471955817765E-2</v>
      </c>
      <c r="L126">
        <v>9.5224554790068902E-2</v>
      </c>
      <c r="M126">
        <v>5.0056359412021821E-2</v>
      </c>
      <c r="N126">
        <v>0</v>
      </c>
      <c r="P126">
        <v>11.792999999999999</v>
      </c>
      <c r="Q126" t="s">
        <v>103</v>
      </c>
    </row>
    <row r="127" spans="1:17" x14ac:dyDescent="0.3">
      <c r="A127">
        <v>0.68793103448275861</v>
      </c>
      <c r="B127">
        <v>0.5679012345679012</v>
      </c>
      <c r="C127">
        <v>0.34707158351409978</v>
      </c>
      <c r="D127">
        <v>8.5271317829457363E-2</v>
      </c>
      <c r="E127">
        <v>1</v>
      </c>
      <c r="F127">
        <v>4.9115913555992145E-2</v>
      </c>
      <c r="G127">
        <v>6.3291139240506333E-2</v>
      </c>
      <c r="H127">
        <v>0.11666666666666667</v>
      </c>
      <c r="I127">
        <v>0.168317783976147</v>
      </c>
      <c r="J127">
        <v>0.1825</v>
      </c>
      <c r="K127">
        <v>0.34147926192426398</v>
      </c>
      <c r="L127">
        <v>0.23303652671259589</v>
      </c>
      <c r="M127">
        <v>0.2992723118094055</v>
      </c>
      <c r="N127">
        <v>0</v>
      </c>
      <c r="P127">
        <v>28.756</v>
      </c>
      <c r="Q127" t="s">
        <v>103</v>
      </c>
    </row>
    <row r="128" spans="1:17" x14ac:dyDescent="0.3">
      <c r="A128">
        <v>0.17241379310344829</v>
      </c>
      <c r="B128">
        <v>0.38271604938271608</v>
      </c>
      <c r="C128">
        <v>0.33839479392624727</v>
      </c>
      <c r="D128">
        <v>0.3410852713178294</v>
      </c>
      <c r="E128">
        <v>1</v>
      </c>
      <c r="F128">
        <v>0.14734774066797643</v>
      </c>
      <c r="G128">
        <v>0.2848101265822785</v>
      </c>
      <c r="H128">
        <v>6.6666666666666666E-2</v>
      </c>
      <c r="I128">
        <v>0.34865826680773304</v>
      </c>
      <c r="J128">
        <v>0.1925</v>
      </c>
      <c r="K128">
        <v>6.9974805337535903E-2</v>
      </c>
      <c r="L128">
        <v>0.20572273495385415</v>
      </c>
      <c r="M128">
        <v>1.0968998489414402E-2</v>
      </c>
      <c r="N128">
        <v>0</v>
      </c>
      <c r="P128">
        <v>25.393999999999998</v>
      </c>
      <c r="Q128" t="s">
        <v>103</v>
      </c>
    </row>
    <row r="129" spans="1:17" x14ac:dyDescent="0.3">
      <c r="A129">
        <v>0.39655172413793105</v>
      </c>
      <c r="B129">
        <v>0.5679012345679012</v>
      </c>
      <c r="C129">
        <v>0.30802603036876358</v>
      </c>
      <c r="D129">
        <v>0.20155038759689919</v>
      </c>
      <c r="E129">
        <v>1</v>
      </c>
      <c r="F129">
        <v>9.8231827111984291E-2</v>
      </c>
      <c r="G129">
        <v>0.23508137432188067</v>
      </c>
      <c r="H129">
        <v>6.6666666666666666E-2</v>
      </c>
      <c r="I129">
        <v>0.1803404828315861</v>
      </c>
      <c r="J129">
        <v>0.16</v>
      </c>
      <c r="K129">
        <v>0.18982052691059523</v>
      </c>
      <c r="L129">
        <v>0.17776712595866373</v>
      </c>
      <c r="M129">
        <v>0.15711240443820784</v>
      </c>
      <c r="N129">
        <v>0</v>
      </c>
      <c r="P129">
        <v>21.952999999999999</v>
      </c>
      <c r="Q129" t="s">
        <v>103</v>
      </c>
    </row>
    <row r="130" spans="1:17" x14ac:dyDescent="0.3">
      <c r="A130">
        <v>0.15517241379310345</v>
      </c>
      <c r="B130">
        <v>0.38271604938271608</v>
      </c>
      <c r="C130">
        <v>0.35791757049891543</v>
      </c>
      <c r="D130">
        <v>9.3023255813953487E-2</v>
      </c>
      <c r="E130">
        <v>1</v>
      </c>
      <c r="F130">
        <v>5.8939096267190572E-2</v>
      </c>
      <c r="G130">
        <v>0.12206148282097649</v>
      </c>
      <c r="H130">
        <v>0.16666666666666666</v>
      </c>
      <c r="I130">
        <v>0.13224968740982976</v>
      </c>
      <c r="J130">
        <v>0.27250000000000002</v>
      </c>
      <c r="K130">
        <v>1.1093946023286972E-3</v>
      </c>
      <c r="L130">
        <v>2.749252567268946E-2</v>
      </c>
      <c r="M130">
        <v>1.8682953386548892E-2</v>
      </c>
      <c r="N130">
        <v>0</v>
      </c>
      <c r="P130">
        <v>3.456</v>
      </c>
      <c r="Q130" t="s">
        <v>103</v>
      </c>
    </row>
    <row r="131" spans="1:17" x14ac:dyDescent="0.3">
      <c r="A131">
        <v>0.22413793103448276</v>
      </c>
      <c r="B131">
        <v>0.44444444444444448</v>
      </c>
      <c r="C131">
        <v>0.29284164859002171</v>
      </c>
      <c r="D131">
        <v>0.10077519379844961</v>
      </c>
      <c r="E131">
        <v>1</v>
      </c>
      <c r="F131">
        <v>4.9115913555992145E-2</v>
      </c>
      <c r="G131">
        <v>0.14014466546112117</v>
      </c>
      <c r="H131">
        <v>0.05</v>
      </c>
      <c r="I131">
        <v>0.14427238626526884</v>
      </c>
      <c r="J131">
        <v>0.13</v>
      </c>
      <c r="K131">
        <v>1.4798840146951585E-2</v>
      </c>
      <c r="L131">
        <v>5.9453399194072533E-2</v>
      </c>
      <c r="M131">
        <v>1.8786470673935882E-2</v>
      </c>
      <c r="N131">
        <v>0</v>
      </c>
      <c r="P131">
        <v>7.39</v>
      </c>
      <c r="Q131" t="s">
        <v>103</v>
      </c>
    </row>
    <row r="132" spans="1:17" x14ac:dyDescent="0.3">
      <c r="A132">
        <v>0.27586206896551724</v>
      </c>
      <c r="B132">
        <v>0.13580246913580249</v>
      </c>
      <c r="C132">
        <v>0.33839479392624727</v>
      </c>
      <c r="D132">
        <v>0.34883720930232559</v>
      </c>
      <c r="E132">
        <v>1</v>
      </c>
      <c r="F132">
        <v>4.9115913555992145E-2</v>
      </c>
      <c r="G132">
        <v>0.13110307414104883</v>
      </c>
      <c r="H132">
        <v>3.3333333333333333E-2</v>
      </c>
      <c r="I132">
        <v>0.13224968740982976</v>
      </c>
      <c r="J132">
        <v>0.13750000000000001</v>
      </c>
      <c r="K132">
        <v>0.11850477108800161</v>
      </c>
      <c r="L132">
        <v>0.24605972962433384</v>
      </c>
      <c r="M132">
        <v>4.5769976919478872E-2</v>
      </c>
      <c r="N132">
        <v>0</v>
      </c>
      <c r="P132">
        <v>30.359000000000002</v>
      </c>
      <c r="Q132" t="s">
        <v>103</v>
      </c>
    </row>
    <row r="133" spans="1:17" x14ac:dyDescent="0.3">
      <c r="A133">
        <v>0.2413793103448276</v>
      </c>
      <c r="B133">
        <v>0.13580246913580249</v>
      </c>
      <c r="C133">
        <v>0.34056399132321041</v>
      </c>
      <c r="D133">
        <v>0.33333333333333331</v>
      </c>
      <c r="E133">
        <v>1</v>
      </c>
      <c r="F133">
        <v>0.206286836935167</v>
      </c>
      <c r="G133">
        <v>0.3345388788426763</v>
      </c>
      <c r="H133">
        <v>0.2</v>
      </c>
      <c r="I133">
        <v>0.28854477253053767</v>
      </c>
      <c r="J133">
        <v>0.20749999999999999</v>
      </c>
      <c r="K133">
        <v>0.22487532270941119</v>
      </c>
      <c r="L133">
        <v>8.0422137007669314E-2</v>
      </c>
      <c r="M133">
        <v>0.24193907049143873</v>
      </c>
      <c r="N133">
        <v>0</v>
      </c>
      <c r="P133">
        <v>9.9710000000000001</v>
      </c>
      <c r="Q133" t="s">
        <v>103</v>
      </c>
    </row>
    <row r="134" spans="1:17" x14ac:dyDescent="0.3">
      <c r="A134">
        <v>3.4482758620689655E-2</v>
      </c>
      <c r="B134">
        <v>0.2592592592592593</v>
      </c>
      <c r="C134">
        <v>0.26681127982646419</v>
      </c>
      <c r="D134">
        <v>0.37209302325581395</v>
      </c>
      <c r="E134">
        <v>1</v>
      </c>
      <c r="F134">
        <v>9.8231827111984291E-2</v>
      </c>
      <c r="G134">
        <v>0.18535262206148284</v>
      </c>
      <c r="H134">
        <v>3.3333333333333333E-2</v>
      </c>
      <c r="I134">
        <v>0.34865826680773304</v>
      </c>
      <c r="J134">
        <v>0.1275</v>
      </c>
      <c r="K134">
        <v>0</v>
      </c>
      <c r="L134">
        <v>6.4474197322240995E-2</v>
      </c>
      <c r="M134">
        <v>0</v>
      </c>
      <c r="N134">
        <v>0</v>
      </c>
      <c r="P134">
        <v>8.0079999999999991</v>
      </c>
      <c r="Q134" t="s">
        <v>103</v>
      </c>
    </row>
    <row r="135" spans="1:17" x14ac:dyDescent="0.3">
      <c r="A135">
        <v>0.43103448275862066</v>
      </c>
      <c r="B135">
        <v>0.69135802469135799</v>
      </c>
      <c r="C135">
        <v>0.36225596529284165</v>
      </c>
      <c r="D135">
        <v>8.5271317829457363E-2</v>
      </c>
      <c r="E135">
        <v>1</v>
      </c>
      <c r="F135">
        <v>4.9115913555992145E-2</v>
      </c>
      <c r="G135">
        <v>5.8770343580470168E-2</v>
      </c>
      <c r="H135">
        <v>0.13333333333333333</v>
      </c>
      <c r="I135">
        <v>0.13224968740982976</v>
      </c>
      <c r="J135">
        <v>0.13500000000000001</v>
      </c>
      <c r="K135">
        <v>0.50654404573055889</v>
      </c>
      <c r="L135">
        <v>0.413054075133238</v>
      </c>
      <c r="M135">
        <v>0.39743353806752402</v>
      </c>
      <c r="N135">
        <v>1</v>
      </c>
      <c r="P135" t="s">
        <v>103</v>
      </c>
      <c r="Q135">
        <v>50.914000000000001</v>
      </c>
    </row>
    <row r="136" spans="1:17" x14ac:dyDescent="0.3">
      <c r="A136">
        <v>0.13793103448275862</v>
      </c>
      <c r="B136">
        <v>0.32098765432098769</v>
      </c>
      <c r="C136">
        <v>0.33622559652928419</v>
      </c>
      <c r="D136">
        <v>0.16279069767441856</v>
      </c>
      <c r="E136">
        <v>1</v>
      </c>
      <c r="F136">
        <v>4.9115913555992145E-2</v>
      </c>
      <c r="G136">
        <v>2.2603978300180832E-2</v>
      </c>
      <c r="H136">
        <v>0.11666666666666667</v>
      </c>
      <c r="I136">
        <v>0.19236318168702515</v>
      </c>
      <c r="J136">
        <v>0.2475</v>
      </c>
      <c r="K136">
        <v>4.0898989794260869E-2</v>
      </c>
      <c r="L136">
        <v>5.0638567528922394E-2</v>
      </c>
      <c r="M136">
        <v>5.1900500716953069E-2</v>
      </c>
      <c r="N136">
        <v>0</v>
      </c>
      <c r="P136">
        <v>6.3049999999999997</v>
      </c>
      <c r="Q136" t="s">
        <v>103</v>
      </c>
    </row>
    <row r="137" spans="1:17" x14ac:dyDescent="0.3">
      <c r="A137">
        <v>0.22413793103448276</v>
      </c>
      <c r="B137">
        <v>0.5679012345679012</v>
      </c>
      <c r="C137">
        <v>0.3232104121475054</v>
      </c>
      <c r="D137">
        <v>0.47286821705426352</v>
      </c>
      <c r="E137">
        <v>1</v>
      </c>
      <c r="F137">
        <v>9.8231827111984291E-2</v>
      </c>
      <c r="G137">
        <v>0.18535262206148284</v>
      </c>
      <c r="H137">
        <v>0.15</v>
      </c>
      <c r="I137">
        <v>0.168317783976147</v>
      </c>
      <c r="J137">
        <v>0.13500000000000001</v>
      </c>
      <c r="K137">
        <v>0.20177848742167709</v>
      </c>
      <c r="L137">
        <v>3.7062914337709613E-2</v>
      </c>
      <c r="M137">
        <v>0.2367785420165168</v>
      </c>
      <c r="N137">
        <v>0</v>
      </c>
      <c r="P137">
        <v>4.6340000000000003</v>
      </c>
      <c r="Q137" t="s">
        <v>103</v>
      </c>
    </row>
    <row r="138" spans="1:17" x14ac:dyDescent="0.3">
      <c r="A138">
        <v>0.23103448275862068</v>
      </c>
      <c r="B138">
        <v>0.32098765432098769</v>
      </c>
      <c r="C138">
        <v>0.35791757049891543</v>
      </c>
      <c r="D138">
        <v>0.24806201550387594</v>
      </c>
      <c r="E138">
        <v>1</v>
      </c>
      <c r="F138">
        <v>1.9646365422396856E-2</v>
      </c>
      <c r="G138">
        <v>0.11301989150090416</v>
      </c>
      <c r="H138">
        <v>1.6666666666666666E-2</v>
      </c>
      <c r="I138">
        <v>8.4158891988073484E-2</v>
      </c>
      <c r="J138">
        <v>2.5000000000000001E-3</v>
      </c>
      <c r="K138">
        <v>0.57143844587986048</v>
      </c>
      <c r="L138">
        <v>0</v>
      </c>
      <c r="M138">
        <v>0.66435094660808369</v>
      </c>
      <c r="N138">
        <v>0</v>
      </c>
      <c r="P138">
        <v>7.1999999999999995E-2</v>
      </c>
      <c r="Q138" t="s">
        <v>103</v>
      </c>
    </row>
    <row r="139" spans="1:17" x14ac:dyDescent="0.3">
      <c r="A139">
        <v>0.16551724137931034</v>
      </c>
      <c r="B139">
        <v>0.38271604938271608</v>
      </c>
      <c r="C139">
        <v>0.35791757049891543</v>
      </c>
      <c r="D139">
        <v>0.19379844961240308</v>
      </c>
      <c r="E139">
        <v>1</v>
      </c>
      <c r="F139">
        <v>2.9469548133595286E-2</v>
      </c>
      <c r="G139">
        <v>0</v>
      </c>
      <c r="H139">
        <v>0.05</v>
      </c>
      <c r="I139">
        <v>0.1803404828315861</v>
      </c>
      <c r="J139">
        <v>0.26</v>
      </c>
      <c r="K139">
        <v>3.4090555630436815E-2</v>
      </c>
      <c r="L139">
        <v>8.7287144157025889E-2</v>
      </c>
      <c r="M139">
        <v>2.7052517770467667E-2</v>
      </c>
      <c r="N139">
        <v>0</v>
      </c>
      <c r="P139">
        <v>10.816000000000001</v>
      </c>
      <c r="Q139" t="s">
        <v>103</v>
      </c>
    </row>
    <row r="140" spans="1:17" x14ac:dyDescent="0.3">
      <c r="A140">
        <v>0.15517241379310345</v>
      </c>
      <c r="B140">
        <v>0.38271604938271608</v>
      </c>
      <c r="C140">
        <v>0.35791757049891543</v>
      </c>
      <c r="D140">
        <v>9.3023255813953487E-2</v>
      </c>
      <c r="E140">
        <v>1</v>
      </c>
      <c r="F140">
        <v>5.8939096267190572E-2</v>
      </c>
      <c r="G140">
        <v>0.12206148282097649</v>
      </c>
      <c r="H140">
        <v>0.16666666666666666</v>
      </c>
      <c r="I140">
        <v>0.13224968740982976</v>
      </c>
      <c r="J140">
        <v>0.27250000000000002</v>
      </c>
      <c r="K140">
        <v>1.1093946023286972E-3</v>
      </c>
      <c r="L140">
        <v>2.749252567268946E-2</v>
      </c>
      <c r="M140">
        <v>1.8682953386548892E-2</v>
      </c>
      <c r="N140">
        <v>0</v>
      </c>
      <c r="P140">
        <v>3.456</v>
      </c>
      <c r="Q140" t="s">
        <v>103</v>
      </c>
    </row>
    <row r="141" spans="1:17" x14ac:dyDescent="0.3">
      <c r="A141">
        <v>0.22413793103448276</v>
      </c>
      <c r="B141">
        <v>0.44444444444444448</v>
      </c>
      <c r="C141">
        <v>0.29284164859002171</v>
      </c>
      <c r="D141">
        <v>0.10077519379844961</v>
      </c>
      <c r="E141">
        <v>1</v>
      </c>
      <c r="F141">
        <v>4.9115913555992145E-2</v>
      </c>
      <c r="G141">
        <v>0.14014466546112117</v>
      </c>
      <c r="H141">
        <v>0.05</v>
      </c>
      <c r="I141">
        <v>0.14427238626526884</v>
      </c>
      <c r="J141">
        <v>0.13</v>
      </c>
      <c r="K141">
        <v>1.4798840146951585E-2</v>
      </c>
      <c r="L141">
        <v>5.9453399194072533E-2</v>
      </c>
      <c r="M141">
        <v>1.8786470673935882E-2</v>
      </c>
      <c r="N141">
        <v>0</v>
      </c>
      <c r="P141">
        <v>7.39</v>
      </c>
      <c r="Q141" t="s">
        <v>103</v>
      </c>
    </row>
    <row r="142" spans="1:17" x14ac:dyDescent="0.3">
      <c r="A142">
        <v>0.27586206896551724</v>
      </c>
      <c r="B142">
        <v>0.38271604938271608</v>
      </c>
      <c r="C142">
        <v>0</v>
      </c>
      <c r="D142">
        <v>0.37209302325581395</v>
      </c>
      <c r="E142">
        <v>1</v>
      </c>
      <c r="F142">
        <v>0.206286836935167</v>
      </c>
      <c r="G142">
        <v>0.22151898734177217</v>
      </c>
      <c r="H142">
        <v>0.21666666666666667</v>
      </c>
      <c r="I142">
        <v>0.31259017024141583</v>
      </c>
      <c r="J142">
        <v>0</v>
      </c>
      <c r="K142">
        <v>7.6828168254725326E-3</v>
      </c>
      <c r="L142">
        <v>3.9240218380345769E-2</v>
      </c>
      <c r="M142">
        <v>2.0431245351307005E-2</v>
      </c>
      <c r="N142">
        <v>0</v>
      </c>
      <c r="P142">
        <v>4.9020000000000001</v>
      </c>
      <c r="Q142" t="s">
        <v>103</v>
      </c>
    </row>
    <row r="143" spans="1:17" x14ac:dyDescent="0.3">
      <c r="A143">
        <v>0.57068965517241377</v>
      </c>
      <c r="B143">
        <v>0.32098765432098769</v>
      </c>
      <c r="C143">
        <v>0</v>
      </c>
      <c r="D143">
        <v>0.34883720930232559</v>
      </c>
      <c r="E143">
        <v>1</v>
      </c>
      <c r="F143">
        <v>0.14734774066797643</v>
      </c>
      <c r="G143">
        <v>0.24864376130198917</v>
      </c>
      <c r="H143">
        <v>6.6666666666666666E-2</v>
      </c>
      <c r="I143">
        <v>0.168317783976147</v>
      </c>
      <c r="J143">
        <v>0</v>
      </c>
      <c r="K143">
        <v>0.10400315192485149</v>
      </c>
      <c r="L143">
        <v>0.2523479136877681</v>
      </c>
      <c r="M143">
        <v>2.6715128093058212E-2</v>
      </c>
      <c r="N143">
        <v>0</v>
      </c>
      <c r="P143">
        <v>31.132999999999999</v>
      </c>
      <c r="Q143" t="s">
        <v>103</v>
      </c>
    </row>
    <row r="144" spans="1:17" x14ac:dyDescent="0.3">
      <c r="A144">
        <v>0.55172413793103448</v>
      </c>
      <c r="B144">
        <v>0.50617283950617287</v>
      </c>
      <c r="C144">
        <v>0</v>
      </c>
      <c r="D144">
        <v>8.5271317829457363E-2</v>
      </c>
      <c r="E144">
        <v>1</v>
      </c>
      <c r="F144">
        <v>4.9115913555992145E-2</v>
      </c>
      <c r="G144">
        <v>6.3291139240506333E-2</v>
      </c>
      <c r="H144">
        <v>8.3333333333333329E-2</v>
      </c>
      <c r="I144">
        <v>0.19236318168702515</v>
      </c>
      <c r="J144">
        <v>0</v>
      </c>
      <c r="K144">
        <v>0.34819092646545496</v>
      </c>
      <c r="L144">
        <v>0.18219485246327832</v>
      </c>
      <c r="M144">
        <v>0.33071089538619614</v>
      </c>
      <c r="N144">
        <v>0</v>
      </c>
      <c r="P144">
        <v>22.498000000000001</v>
      </c>
      <c r="Q144" t="s">
        <v>103</v>
      </c>
    </row>
    <row r="145" spans="1:17" x14ac:dyDescent="0.3">
      <c r="A145">
        <v>0.27586206896551724</v>
      </c>
      <c r="B145">
        <v>0.19753086419753088</v>
      </c>
      <c r="C145">
        <v>0.33188720173535791</v>
      </c>
      <c r="D145">
        <v>0.23255813953488372</v>
      </c>
      <c r="E145">
        <v>1</v>
      </c>
      <c r="F145">
        <v>6.8762278978389005E-2</v>
      </c>
      <c r="G145">
        <v>0.36618444846292947</v>
      </c>
      <c r="H145">
        <v>0.05</v>
      </c>
      <c r="I145">
        <v>0.168317783976147</v>
      </c>
      <c r="J145">
        <v>0.125</v>
      </c>
      <c r="K145">
        <v>0.15328653830867436</v>
      </c>
      <c r="L145">
        <v>0.17704406603405695</v>
      </c>
      <c r="M145">
        <v>0.11692469309041277</v>
      </c>
      <c r="N145">
        <v>0</v>
      </c>
      <c r="P145">
        <v>21.864000000000001</v>
      </c>
      <c r="Q145" t="s">
        <v>103</v>
      </c>
    </row>
    <row r="146" spans="1:17" x14ac:dyDescent="0.3">
      <c r="A146">
        <v>0.10344827586206896</v>
      </c>
      <c r="B146">
        <v>0.32098765432098769</v>
      </c>
      <c r="C146">
        <v>0.34056399132321041</v>
      </c>
      <c r="D146">
        <v>0.29457364341085268</v>
      </c>
      <c r="E146">
        <v>1</v>
      </c>
      <c r="F146">
        <v>9.8231827111984291E-2</v>
      </c>
      <c r="G146">
        <v>0.1763110307414105</v>
      </c>
      <c r="H146">
        <v>0.05</v>
      </c>
      <c r="I146">
        <v>0.34865826680773304</v>
      </c>
      <c r="J146">
        <v>0.25</v>
      </c>
      <c r="K146">
        <v>2.282726276754209E-2</v>
      </c>
      <c r="L146">
        <v>0.10375503704666582</v>
      </c>
      <c r="M146">
        <v>6.7861332842584707E-3</v>
      </c>
      <c r="N146">
        <v>0</v>
      </c>
      <c r="P146">
        <v>12.843</v>
      </c>
      <c r="Q146" t="s">
        <v>103</v>
      </c>
    </row>
    <row r="147" spans="1:17" x14ac:dyDescent="0.3">
      <c r="A147">
        <v>0.60862068965517246</v>
      </c>
      <c r="B147">
        <v>0.38271604938271608</v>
      </c>
      <c r="C147">
        <v>0.34707158351409978</v>
      </c>
      <c r="D147">
        <v>6.9767441860465129E-2</v>
      </c>
      <c r="E147">
        <v>1</v>
      </c>
      <c r="F147">
        <v>9.8231827111984291E-2</v>
      </c>
      <c r="G147">
        <v>0.17179023508137434</v>
      </c>
      <c r="H147">
        <v>0.1</v>
      </c>
      <c r="I147">
        <v>0.25247667596422052</v>
      </c>
      <c r="J147">
        <v>0.13750000000000001</v>
      </c>
      <c r="K147">
        <v>0.44280742499490233</v>
      </c>
      <c r="L147">
        <v>0.259830365267126</v>
      </c>
      <c r="M147">
        <v>0.39903613903521895</v>
      </c>
      <c r="N147">
        <v>0</v>
      </c>
      <c r="P147">
        <v>32.054000000000002</v>
      </c>
      <c r="Q147" t="s">
        <v>103</v>
      </c>
    </row>
    <row r="148" spans="1:17" x14ac:dyDescent="0.3">
      <c r="A148">
        <v>0.31034482758620691</v>
      </c>
      <c r="B148">
        <v>0.19753086419753088</v>
      </c>
      <c r="C148">
        <v>0.32754880694143168</v>
      </c>
      <c r="D148">
        <v>0.21705426356589144</v>
      </c>
      <c r="E148">
        <v>1</v>
      </c>
      <c r="F148">
        <v>4.9115913555992145E-2</v>
      </c>
      <c r="G148">
        <v>0.108499095840868</v>
      </c>
      <c r="H148">
        <v>0.05</v>
      </c>
      <c r="I148">
        <v>0.15629508512070789</v>
      </c>
      <c r="J148">
        <v>0.17749999999999999</v>
      </c>
      <c r="K148">
        <v>0.19325239245611672</v>
      </c>
      <c r="L148">
        <v>0.16948037176654102</v>
      </c>
      <c r="M148">
        <v>0.1648301933089493</v>
      </c>
      <c r="N148">
        <v>0</v>
      </c>
      <c r="P148">
        <v>20.933</v>
      </c>
      <c r="Q148" t="s">
        <v>103</v>
      </c>
    </row>
    <row r="149" spans="1:17" x14ac:dyDescent="0.3">
      <c r="A149">
        <v>1.7241379310344827E-2</v>
      </c>
      <c r="B149">
        <v>0.32098765432098769</v>
      </c>
      <c r="C149">
        <v>0.34056399132321041</v>
      </c>
      <c r="D149">
        <v>0.14728682170542637</v>
      </c>
      <c r="E149">
        <v>1</v>
      </c>
      <c r="F149">
        <v>4.9115913555992145E-2</v>
      </c>
      <c r="G149">
        <v>9.9457504520795659E-2</v>
      </c>
      <c r="H149">
        <v>1.6666666666666666E-2</v>
      </c>
      <c r="I149">
        <v>0.19236318168702515</v>
      </c>
      <c r="J149">
        <v>0.13500000000000001</v>
      </c>
      <c r="K149">
        <v>8.3564025201574577E-2</v>
      </c>
      <c r="L149">
        <v>0.117818146366827</v>
      </c>
      <c r="M149">
        <v>6.7527777138782177E-2</v>
      </c>
      <c r="N149">
        <v>0</v>
      </c>
      <c r="P149">
        <v>14.574</v>
      </c>
      <c r="Q149" t="s">
        <v>103</v>
      </c>
    </row>
    <row r="150" spans="1:17" x14ac:dyDescent="0.3">
      <c r="A150">
        <v>0.26896551724137929</v>
      </c>
      <c r="B150">
        <v>0.2592592592592593</v>
      </c>
      <c r="C150">
        <v>0.35357917570498915</v>
      </c>
      <c r="D150">
        <v>0.25581395348837205</v>
      </c>
      <c r="E150">
        <v>1</v>
      </c>
      <c r="F150">
        <v>4.9115913555992145E-2</v>
      </c>
      <c r="G150">
        <v>9.9457504520795659E-2</v>
      </c>
      <c r="H150">
        <v>6.6666666666666666E-2</v>
      </c>
      <c r="I150">
        <v>0.10820428969895164</v>
      </c>
      <c r="J150">
        <v>0.155</v>
      </c>
      <c r="K150">
        <v>0.11101203744984395</v>
      </c>
      <c r="L150">
        <v>2.9190497855193034E-2</v>
      </c>
      <c r="M150">
        <v>0.13980201360293837</v>
      </c>
      <c r="N150">
        <v>0</v>
      </c>
      <c r="P150">
        <v>3.665</v>
      </c>
      <c r="Q150" t="s">
        <v>103</v>
      </c>
    </row>
    <row r="151" spans="1:17" x14ac:dyDescent="0.3">
      <c r="A151">
        <v>0.2413793103448276</v>
      </c>
      <c r="B151">
        <v>0.93827160493827155</v>
      </c>
      <c r="C151">
        <v>0.34707158351409978</v>
      </c>
      <c r="D151">
        <v>0.45736434108527124</v>
      </c>
      <c r="E151">
        <v>1</v>
      </c>
      <c r="F151">
        <v>4.9115913555992145E-2</v>
      </c>
      <c r="G151">
        <v>0.14466546112115733</v>
      </c>
      <c r="H151">
        <v>3.3333333333333333E-2</v>
      </c>
      <c r="I151">
        <v>0.22843127825334233</v>
      </c>
      <c r="J151">
        <v>7.7499999999999999E-2</v>
      </c>
      <c r="K151">
        <v>0.11795180181581287</v>
      </c>
      <c r="L151">
        <v>0.27225237228649418</v>
      </c>
      <c r="M151">
        <v>3.2795810233642364E-2</v>
      </c>
      <c r="N151">
        <v>0</v>
      </c>
      <c r="P151">
        <v>33.582999999999998</v>
      </c>
      <c r="Q151" t="s">
        <v>103</v>
      </c>
    </row>
    <row r="152" spans="1:17" x14ac:dyDescent="0.3">
      <c r="A152">
        <v>0.10344827586206896</v>
      </c>
      <c r="B152">
        <v>0.19753086419753088</v>
      </c>
      <c r="C152">
        <v>0.32537960954446854</v>
      </c>
      <c r="D152">
        <v>0.75968992248062017</v>
      </c>
      <c r="E152">
        <v>1</v>
      </c>
      <c r="F152">
        <v>4.9115913555992145E-2</v>
      </c>
      <c r="G152">
        <v>0.15822784810126583</v>
      </c>
      <c r="H152">
        <v>0.11666666666666667</v>
      </c>
      <c r="I152">
        <v>9.6181590843512563E-2</v>
      </c>
      <c r="J152">
        <v>0.2225</v>
      </c>
      <c r="K152">
        <v>0.22531078601125984</v>
      </c>
      <c r="L152">
        <v>0.340934940855323</v>
      </c>
      <c r="M152">
        <v>0.11948195348623222</v>
      </c>
      <c r="N152">
        <v>1</v>
      </c>
      <c r="P152" t="s">
        <v>103</v>
      </c>
      <c r="Q152">
        <v>42.036999999999999</v>
      </c>
    </row>
    <row r="153" spans="1:17" x14ac:dyDescent="0.3">
      <c r="A153">
        <v>0.20517241379310344</v>
      </c>
      <c r="B153">
        <v>0.32098765432098769</v>
      </c>
      <c r="C153">
        <v>0.32104121475054231</v>
      </c>
      <c r="D153">
        <v>0.37209302325581395</v>
      </c>
      <c r="E153">
        <v>1</v>
      </c>
      <c r="F153">
        <v>9.8231827111984291E-2</v>
      </c>
      <c r="G153">
        <v>0.1763110307414105</v>
      </c>
      <c r="H153">
        <v>0.16666666666666666</v>
      </c>
      <c r="I153">
        <v>0.168317783976147</v>
      </c>
      <c r="J153">
        <v>0.2</v>
      </c>
      <c r="K153">
        <v>0.42700287198415743</v>
      </c>
      <c r="L153">
        <v>0.34775932666060055</v>
      </c>
      <c r="M153">
        <v>0.340008281382991</v>
      </c>
      <c r="N153">
        <v>1</v>
      </c>
      <c r="P153" t="s">
        <v>103</v>
      </c>
      <c r="Q153">
        <v>42.877000000000002</v>
      </c>
    </row>
    <row r="154" spans="1:17" x14ac:dyDescent="0.3">
      <c r="A154">
        <v>0.30344827586206896</v>
      </c>
      <c r="B154">
        <v>0.38271604938271608</v>
      </c>
      <c r="C154">
        <v>0.35791757049891543</v>
      </c>
      <c r="D154">
        <v>0.37209302325581395</v>
      </c>
      <c r="E154">
        <v>1</v>
      </c>
      <c r="F154">
        <v>4.9115913555992145E-2</v>
      </c>
      <c r="G154">
        <v>2.2603978300180832E-2</v>
      </c>
      <c r="H154">
        <v>0.16666666666666666</v>
      </c>
      <c r="I154">
        <v>0.168317783976147</v>
      </c>
      <c r="J154">
        <v>0.27500000000000002</v>
      </c>
      <c r="K154">
        <v>5.6900538108223007E-2</v>
      </c>
      <c r="L154">
        <v>3.9264591186793193E-2</v>
      </c>
      <c r="M154">
        <v>7.5019361566714987E-2</v>
      </c>
      <c r="N154">
        <v>0</v>
      </c>
      <c r="P154">
        <v>4.9050000000000002</v>
      </c>
      <c r="Q154" t="s">
        <v>103</v>
      </c>
    </row>
    <row r="155" spans="1:17" x14ac:dyDescent="0.3">
      <c r="A155">
        <v>0.23965517241379311</v>
      </c>
      <c r="B155">
        <v>0.5679012345679012</v>
      </c>
      <c r="C155">
        <v>0.27331887201735355</v>
      </c>
      <c r="D155">
        <v>0.29457364341085268</v>
      </c>
      <c r="E155">
        <v>1</v>
      </c>
      <c r="F155">
        <v>9.8231827111984291E-2</v>
      </c>
      <c r="G155">
        <v>0.27124773960216997</v>
      </c>
      <c r="H155">
        <v>8.3333333333333329E-2</v>
      </c>
      <c r="I155">
        <v>0.13224968740982976</v>
      </c>
      <c r="J155">
        <v>0.105</v>
      </c>
      <c r="K155">
        <v>0.20051357021154531</v>
      </c>
      <c r="L155">
        <v>0.11771253087222151</v>
      </c>
      <c r="M155">
        <v>0.19731545168043066</v>
      </c>
      <c r="N155">
        <v>0</v>
      </c>
      <c r="P155">
        <v>14.561</v>
      </c>
      <c r="Q155" t="s">
        <v>103</v>
      </c>
    </row>
    <row r="156" spans="1:17" x14ac:dyDescent="0.3">
      <c r="A156">
        <v>0.27586206896551724</v>
      </c>
      <c r="B156">
        <v>0.19753086419753088</v>
      </c>
      <c r="C156">
        <v>0.33622559652928419</v>
      </c>
      <c r="D156">
        <v>0.25581395348837205</v>
      </c>
      <c r="E156">
        <v>1</v>
      </c>
      <c r="F156">
        <v>0.14734774066797643</v>
      </c>
      <c r="G156">
        <v>0.28933092224231466</v>
      </c>
      <c r="H156">
        <v>3.3333333333333333E-2</v>
      </c>
      <c r="I156">
        <v>0.54102144849475808</v>
      </c>
      <c r="J156">
        <v>0.185</v>
      </c>
      <c r="K156">
        <v>4.7265048540333934E-2</v>
      </c>
      <c r="L156">
        <v>0.14182536071753543</v>
      </c>
      <c r="M156">
        <v>1.5930160336776248E-2</v>
      </c>
      <c r="N156">
        <v>0</v>
      </c>
      <c r="P156">
        <v>17.529</v>
      </c>
      <c r="Q156" t="s">
        <v>103</v>
      </c>
    </row>
    <row r="157" spans="1:17" x14ac:dyDescent="0.3">
      <c r="A157">
        <v>0.32758620689655171</v>
      </c>
      <c r="B157">
        <v>0.5679012345679012</v>
      </c>
      <c r="C157">
        <v>0.34707158351409978</v>
      </c>
      <c r="D157">
        <v>0.29457364341085268</v>
      </c>
      <c r="E157">
        <v>1</v>
      </c>
      <c r="F157">
        <v>9.8231827111984291E-2</v>
      </c>
      <c r="G157">
        <v>0.2034358047016275</v>
      </c>
      <c r="H157">
        <v>0.13333333333333333</v>
      </c>
      <c r="I157">
        <v>0.19236318168702515</v>
      </c>
      <c r="J157">
        <v>0.1575</v>
      </c>
      <c r="K157">
        <v>0.30087749311380452</v>
      </c>
      <c r="L157">
        <v>0.36870369166774991</v>
      </c>
      <c r="M157">
        <v>0.19020726461319043</v>
      </c>
      <c r="N157">
        <v>1</v>
      </c>
      <c r="P157" t="s">
        <v>103</v>
      </c>
      <c r="Q157">
        <v>45.454999999999998</v>
      </c>
    </row>
    <row r="158" spans="1:17" x14ac:dyDescent="0.3">
      <c r="A158">
        <v>0.22413793103448276</v>
      </c>
      <c r="B158">
        <v>0.13580246913580249</v>
      </c>
      <c r="C158">
        <v>0.34707158351409978</v>
      </c>
      <c r="D158">
        <v>0.29457364341085268</v>
      </c>
      <c r="E158">
        <v>1</v>
      </c>
      <c r="F158">
        <v>4.9115913555992145E-2</v>
      </c>
      <c r="G158">
        <v>5.8770343580470168E-2</v>
      </c>
      <c r="H158">
        <v>8.3333333333333329E-2</v>
      </c>
      <c r="I158">
        <v>0.1803404828315861</v>
      </c>
      <c r="J158">
        <v>0.24</v>
      </c>
      <c r="K158">
        <v>8.83679457537144E-2</v>
      </c>
      <c r="L158">
        <v>0.15311809437150659</v>
      </c>
      <c r="M158">
        <v>5.6198385130316761E-2</v>
      </c>
      <c r="N158">
        <v>0</v>
      </c>
      <c r="P158">
        <v>18.919</v>
      </c>
      <c r="Q158" t="s">
        <v>103</v>
      </c>
    </row>
    <row r="159" spans="1:17" x14ac:dyDescent="0.3">
      <c r="A159">
        <v>0.17241379310344829</v>
      </c>
      <c r="B159">
        <v>0.32098765432098769</v>
      </c>
      <c r="C159">
        <v>0.32104121475054231</v>
      </c>
      <c r="D159">
        <v>0.1705426356589147</v>
      </c>
      <c r="E159">
        <v>1</v>
      </c>
      <c r="F159">
        <v>6.8762278978389005E-2</v>
      </c>
      <c r="G159">
        <v>3.6166365280289332E-2</v>
      </c>
      <c r="H159">
        <v>0.13333333333333333</v>
      </c>
      <c r="I159">
        <v>0.22843127825334233</v>
      </c>
      <c r="J159">
        <v>0.13500000000000001</v>
      </c>
      <c r="K159">
        <v>0.14422475436068111</v>
      </c>
      <c r="L159">
        <v>0.12466690497855194</v>
      </c>
      <c r="M159">
        <v>0.13158964213690352</v>
      </c>
      <c r="N159">
        <v>0</v>
      </c>
      <c r="P159">
        <v>15.417</v>
      </c>
      <c r="Q159" t="s">
        <v>103</v>
      </c>
    </row>
    <row r="160" spans="1:17" x14ac:dyDescent="0.3">
      <c r="A160">
        <v>5.1724137931034482E-2</v>
      </c>
      <c r="B160">
        <v>0.13580246913580249</v>
      </c>
      <c r="C160">
        <v>0.33839479392624727</v>
      </c>
      <c r="D160">
        <v>0.29457364341085268</v>
      </c>
      <c r="E160">
        <v>1</v>
      </c>
      <c r="F160">
        <v>6.8762278978389005E-2</v>
      </c>
      <c r="G160">
        <v>9.49367088607595E-2</v>
      </c>
      <c r="H160">
        <v>0.16666666666666666</v>
      </c>
      <c r="I160">
        <v>0.14427238626526884</v>
      </c>
      <c r="J160">
        <v>0.1875</v>
      </c>
      <c r="K160">
        <v>0.23083011055929384</v>
      </c>
      <c r="L160">
        <v>0.1496734043936046</v>
      </c>
      <c r="M160">
        <v>0.2158642159907371</v>
      </c>
      <c r="N160">
        <v>0</v>
      </c>
      <c r="P160">
        <v>18.495000000000001</v>
      </c>
      <c r="Q160" t="s">
        <v>103</v>
      </c>
    </row>
    <row r="161" spans="1:17" x14ac:dyDescent="0.3">
      <c r="A161">
        <v>0.21724137931034482</v>
      </c>
      <c r="B161">
        <v>0.44444444444444448</v>
      </c>
      <c r="C161">
        <v>0.29284164859002171</v>
      </c>
      <c r="D161">
        <v>0.34883720930232559</v>
      </c>
      <c r="E161">
        <v>1</v>
      </c>
      <c r="F161">
        <v>2.9469548133595286E-2</v>
      </c>
      <c r="G161">
        <v>6.3291139240506333E-2</v>
      </c>
      <c r="H161">
        <v>0.11666666666666667</v>
      </c>
      <c r="I161">
        <v>4.8090795421756288E-2</v>
      </c>
      <c r="J161">
        <v>0.21</v>
      </c>
      <c r="K161">
        <v>3.925736226745051E-2</v>
      </c>
      <c r="L161">
        <v>4.9354933056024959E-2</v>
      </c>
      <c r="M161">
        <v>5.0685131083557627E-2</v>
      </c>
      <c r="N161">
        <v>0</v>
      </c>
      <c r="P161">
        <v>6.1470000000000002</v>
      </c>
      <c r="Q161" t="s">
        <v>103</v>
      </c>
    </row>
    <row r="162" spans="1:17" x14ac:dyDescent="0.3">
      <c r="A162">
        <v>0.17241379310344829</v>
      </c>
      <c r="B162">
        <v>0.19753086419753088</v>
      </c>
      <c r="C162">
        <v>0.33622559652928419</v>
      </c>
      <c r="D162">
        <v>0.33333333333333331</v>
      </c>
      <c r="E162">
        <v>1</v>
      </c>
      <c r="F162">
        <v>6.8762278978389005E-2</v>
      </c>
      <c r="G162">
        <v>0.11754068716094034</v>
      </c>
      <c r="H162">
        <v>1.6666666666666666E-2</v>
      </c>
      <c r="I162">
        <v>0.32461286909685488</v>
      </c>
      <c r="J162">
        <v>0.16250000000000001</v>
      </c>
      <c r="K162">
        <v>2.8301658562210775E-2</v>
      </c>
      <c r="L162">
        <v>0.10975887170154688</v>
      </c>
      <c r="M162">
        <v>1.0025840982110675E-2</v>
      </c>
      <c r="N162">
        <v>0</v>
      </c>
      <c r="P162">
        <v>13.582000000000001</v>
      </c>
      <c r="Q162" t="s">
        <v>103</v>
      </c>
    </row>
    <row r="163" spans="1:17" x14ac:dyDescent="0.3">
      <c r="A163">
        <v>0.2413793103448276</v>
      </c>
      <c r="B163">
        <v>0.19753086419753088</v>
      </c>
      <c r="C163">
        <v>0.35791757049891543</v>
      </c>
      <c r="D163">
        <v>0.13953488372093023</v>
      </c>
      <c r="E163">
        <v>1</v>
      </c>
      <c r="F163">
        <v>0.1669941060903733</v>
      </c>
      <c r="G163">
        <v>0.24412296564195299</v>
      </c>
      <c r="H163">
        <v>0.1</v>
      </c>
      <c r="I163">
        <v>0.33663556795229393</v>
      </c>
      <c r="J163">
        <v>0.28499999999999998</v>
      </c>
      <c r="K163">
        <v>5.4412176383373596E-2</v>
      </c>
      <c r="L163">
        <v>0.15667652411282987</v>
      </c>
      <c r="M163">
        <v>1.6850314002438409E-2</v>
      </c>
      <c r="N163">
        <v>0</v>
      </c>
      <c r="P163">
        <v>19.356999999999999</v>
      </c>
      <c r="Q163" t="s">
        <v>103</v>
      </c>
    </row>
    <row r="164" spans="1:17" x14ac:dyDescent="0.3">
      <c r="A164">
        <v>0.10344827586206896</v>
      </c>
      <c r="B164">
        <v>0.2592592592592593</v>
      </c>
      <c r="C164">
        <v>0.35574837310195229</v>
      </c>
      <c r="D164">
        <v>0.17829457364341084</v>
      </c>
      <c r="E164">
        <v>1</v>
      </c>
      <c r="F164">
        <v>6.8762278978389005E-2</v>
      </c>
      <c r="G164">
        <v>0.14918625678119349</v>
      </c>
      <c r="H164">
        <v>8.3333333333333329E-2</v>
      </c>
      <c r="I164">
        <v>0.168317783976147</v>
      </c>
      <c r="J164">
        <v>0.13750000000000001</v>
      </c>
      <c r="K164">
        <v>0.27139386273229033</v>
      </c>
      <c r="L164">
        <v>0.22591966722994933</v>
      </c>
      <c r="M164">
        <v>0.2248817219142264</v>
      </c>
      <c r="N164">
        <v>0</v>
      </c>
      <c r="P164">
        <v>27.88</v>
      </c>
      <c r="Q164" t="s">
        <v>103</v>
      </c>
    </row>
    <row r="165" spans="1:17" x14ac:dyDescent="0.3">
      <c r="A165">
        <v>0.22413793103448276</v>
      </c>
      <c r="B165">
        <v>0.62962962962962965</v>
      </c>
      <c r="C165">
        <v>0.34707158351409978</v>
      </c>
      <c r="D165">
        <v>0.29457364341085268</v>
      </c>
      <c r="E165">
        <v>1</v>
      </c>
      <c r="F165">
        <v>9.8231827111984291E-2</v>
      </c>
      <c r="G165">
        <v>0.18535262206148284</v>
      </c>
      <c r="H165">
        <v>0.15</v>
      </c>
      <c r="I165">
        <v>0.19236318168702515</v>
      </c>
      <c r="J165">
        <v>0.155</v>
      </c>
      <c r="K165">
        <v>0.35519981199044748</v>
      </c>
      <c r="L165">
        <v>0.44668854803067726</v>
      </c>
      <c r="M165">
        <v>0.21366734911396873</v>
      </c>
      <c r="N165">
        <v>1</v>
      </c>
      <c r="P165" t="s">
        <v>103</v>
      </c>
      <c r="Q165">
        <v>55.054000000000002</v>
      </c>
    </row>
    <row r="166" spans="1:17" x14ac:dyDescent="0.3">
      <c r="A166">
        <v>0.20689655172413793</v>
      </c>
      <c r="B166">
        <v>0.2592592592592593</v>
      </c>
      <c r="C166">
        <v>0.32537960954446854</v>
      </c>
      <c r="D166">
        <v>0.52713178294573637</v>
      </c>
      <c r="E166">
        <v>1</v>
      </c>
      <c r="F166">
        <v>4.9115913555992145E-2</v>
      </c>
      <c r="G166">
        <v>0.10397830018083183</v>
      </c>
      <c r="H166">
        <v>6.6666666666666666E-2</v>
      </c>
      <c r="I166">
        <v>0.15629508512070789</v>
      </c>
      <c r="J166">
        <v>0.1225</v>
      </c>
      <c r="K166">
        <v>0.19552647858799299</v>
      </c>
      <c r="L166">
        <v>6.0103340699337059E-2</v>
      </c>
      <c r="M166">
        <v>0.21896973461234698</v>
      </c>
      <c r="N166">
        <v>0</v>
      </c>
      <c r="P166">
        <v>7.47</v>
      </c>
      <c r="Q166" t="s">
        <v>103</v>
      </c>
    </row>
    <row r="167" spans="1:17" x14ac:dyDescent="0.3">
      <c r="A167">
        <v>0.25862068965517243</v>
      </c>
      <c r="B167">
        <v>0.38271604938271608</v>
      </c>
      <c r="C167">
        <v>0.33622559652928419</v>
      </c>
      <c r="D167">
        <v>0.20155038759689919</v>
      </c>
      <c r="E167">
        <v>1</v>
      </c>
      <c r="F167">
        <v>0.14734774066797643</v>
      </c>
      <c r="G167">
        <v>0.53345388788426762</v>
      </c>
      <c r="H167">
        <v>0</v>
      </c>
      <c r="I167">
        <v>0.40877176108492841</v>
      </c>
      <c r="J167">
        <v>0.19</v>
      </c>
      <c r="K167">
        <v>8.4438407863223056E-2</v>
      </c>
      <c r="L167">
        <v>0.15103828155466009</v>
      </c>
      <c r="M167">
        <v>5.2820654382615226E-2</v>
      </c>
      <c r="N167">
        <v>0</v>
      </c>
      <c r="P167">
        <v>18.663</v>
      </c>
      <c r="Q167" t="s">
        <v>103</v>
      </c>
    </row>
    <row r="168" spans="1:17" x14ac:dyDescent="0.3">
      <c r="A168">
        <v>0.55172413793103448</v>
      </c>
      <c r="B168">
        <v>0.19753086419753088</v>
      </c>
      <c r="C168">
        <v>0.34273318872017355</v>
      </c>
      <c r="D168">
        <v>0.19379844961240308</v>
      </c>
      <c r="E168">
        <v>1</v>
      </c>
      <c r="F168">
        <v>9.823182711198428E-3</v>
      </c>
      <c r="G168">
        <v>6.3291139240506333E-2</v>
      </c>
      <c r="H168">
        <v>0</v>
      </c>
      <c r="I168">
        <v>0</v>
      </c>
      <c r="J168">
        <v>0.28749999999999998</v>
      </c>
      <c r="K168">
        <v>5.7311809004413398E-2</v>
      </c>
      <c r="L168">
        <v>0.16346028857402836</v>
      </c>
      <c r="M168">
        <v>1.6865649896866116E-2</v>
      </c>
      <c r="N168">
        <v>0</v>
      </c>
      <c r="P168">
        <v>20.192</v>
      </c>
      <c r="Q168" t="s">
        <v>103</v>
      </c>
    </row>
    <row r="169" spans="1:17" x14ac:dyDescent="0.3">
      <c r="A169">
        <v>0.5913793103448276</v>
      </c>
      <c r="B169">
        <v>7.407407407407407E-2</v>
      </c>
      <c r="C169">
        <v>0.34707158351409978</v>
      </c>
      <c r="D169">
        <v>0.34883720930232559</v>
      </c>
      <c r="E169">
        <v>1</v>
      </c>
      <c r="F169">
        <v>6.8762278978389005E-2</v>
      </c>
      <c r="G169">
        <v>0.15370705244122967</v>
      </c>
      <c r="H169">
        <v>1.6666666666666666E-2</v>
      </c>
      <c r="I169">
        <v>0.28854477253053767</v>
      </c>
      <c r="J169">
        <v>0.215</v>
      </c>
      <c r="K169">
        <v>0.34427866886471953</v>
      </c>
      <c r="L169">
        <v>0.35086279734823866</v>
      </c>
      <c r="M169">
        <v>0.2467737112097721</v>
      </c>
      <c r="N169">
        <v>1</v>
      </c>
      <c r="P169" t="s">
        <v>103</v>
      </c>
      <c r="Q169">
        <v>43.259</v>
      </c>
    </row>
    <row r="170" spans="1:17" x14ac:dyDescent="0.3">
      <c r="A170">
        <v>0.43103448275862066</v>
      </c>
      <c r="B170">
        <v>0.44444444444444448</v>
      </c>
      <c r="C170">
        <v>0.34056399132321041</v>
      </c>
      <c r="D170">
        <v>0.13953488372093023</v>
      </c>
      <c r="E170">
        <v>1</v>
      </c>
      <c r="F170">
        <v>0.14734774066797643</v>
      </c>
      <c r="G170">
        <v>0.33905967450271252</v>
      </c>
      <c r="H170">
        <v>0.05</v>
      </c>
      <c r="I170">
        <v>0.32461286909685488</v>
      </c>
      <c r="J170">
        <v>0.21</v>
      </c>
      <c r="K170">
        <v>4.0415141681095709E-2</v>
      </c>
      <c r="L170">
        <v>0.14101293383595476</v>
      </c>
      <c r="M170">
        <v>8.7146220085420924E-3</v>
      </c>
      <c r="N170">
        <v>0</v>
      </c>
      <c r="P170">
        <v>17.428999999999998</v>
      </c>
      <c r="Q170" t="s">
        <v>103</v>
      </c>
    </row>
    <row r="171" spans="1:17" x14ac:dyDescent="0.3">
      <c r="A171">
        <v>0.58620689655172409</v>
      </c>
      <c r="B171">
        <v>0.32098765432098769</v>
      </c>
      <c r="C171">
        <v>0.31453362255965295</v>
      </c>
      <c r="D171">
        <v>0.13953488372093023</v>
      </c>
      <c r="E171">
        <v>1</v>
      </c>
      <c r="F171">
        <v>9.8231827111984291E-2</v>
      </c>
      <c r="G171">
        <v>0.12658227848101267</v>
      </c>
      <c r="H171">
        <v>8.3333333333333329E-2</v>
      </c>
      <c r="I171">
        <v>0.33663556795229393</v>
      </c>
      <c r="J171">
        <v>0.2175</v>
      </c>
      <c r="K171">
        <v>0.30251220852471256</v>
      </c>
      <c r="L171">
        <v>0.36681886130248276</v>
      </c>
      <c r="M171">
        <v>0.19291021600607303</v>
      </c>
      <c r="N171">
        <v>1</v>
      </c>
      <c r="P171" t="s">
        <v>103</v>
      </c>
      <c r="Q171">
        <v>45.222999999999999</v>
      </c>
    </row>
    <row r="172" spans="1:17" x14ac:dyDescent="0.3">
      <c r="A172">
        <v>0.82758620689655171</v>
      </c>
      <c r="B172">
        <v>0.32098765432098769</v>
      </c>
      <c r="C172">
        <v>0.32971800433839482</v>
      </c>
      <c r="D172">
        <v>0.25581395348837205</v>
      </c>
      <c r="E172">
        <v>1</v>
      </c>
      <c r="F172">
        <v>6.8762278978389005E-2</v>
      </c>
      <c r="G172">
        <v>0.16726943942133815</v>
      </c>
      <c r="H172">
        <v>6.6666666666666666E-2</v>
      </c>
      <c r="I172">
        <v>0.19236318168702515</v>
      </c>
      <c r="J172">
        <v>0.1275</v>
      </c>
      <c r="K172">
        <v>0.11203157454544198</v>
      </c>
      <c r="L172">
        <v>9.8474262316391531E-2</v>
      </c>
      <c r="M172">
        <v>0.10823690889711918</v>
      </c>
      <c r="N172">
        <v>0</v>
      </c>
      <c r="P172">
        <v>12.193</v>
      </c>
      <c r="Q172" t="s">
        <v>103</v>
      </c>
    </row>
    <row r="173" spans="1:17" x14ac:dyDescent="0.3">
      <c r="A173">
        <v>0.81034482758620685</v>
      </c>
      <c r="B173">
        <v>7.407407407407407E-2</v>
      </c>
      <c r="C173">
        <v>0.35791757049891543</v>
      </c>
      <c r="D173">
        <v>0.25581395348837205</v>
      </c>
      <c r="E173">
        <v>1</v>
      </c>
      <c r="F173">
        <v>5.8939096267190572E-2</v>
      </c>
      <c r="G173">
        <v>5.8770343580470168E-2</v>
      </c>
      <c r="H173">
        <v>0.1</v>
      </c>
      <c r="I173">
        <v>0.22843127825334233</v>
      </c>
      <c r="J173">
        <v>0.27250000000000002</v>
      </c>
      <c r="K173">
        <v>0.40472512243085296</v>
      </c>
      <c r="L173">
        <v>0.14144352008319253</v>
      </c>
      <c r="M173">
        <v>0.41265824726062594</v>
      </c>
      <c r="N173">
        <v>0</v>
      </c>
      <c r="P173">
        <v>17.481999999999999</v>
      </c>
      <c r="Q173" t="s">
        <v>103</v>
      </c>
    </row>
    <row r="174" spans="1:17" x14ac:dyDescent="0.3">
      <c r="A174">
        <v>0.58103448275862069</v>
      </c>
      <c r="B174">
        <v>0.44444444444444448</v>
      </c>
      <c r="C174">
        <v>0.34707158351409978</v>
      </c>
      <c r="D174">
        <v>0.32558139534883723</v>
      </c>
      <c r="E174">
        <v>1</v>
      </c>
      <c r="F174">
        <v>6.8762278978389005E-2</v>
      </c>
      <c r="G174">
        <v>0.15370705244122967</v>
      </c>
      <c r="H174">
        <v>0.05</v>
      </c>
      <c r="I174">
        <v>0.25247667596422052</v>
      </c>
      <c r="J174">
        <v>0.22</v>
      </c>
      <c r="K174">
        <v>0.14517517029725555</v>
      </c>
      <c r="L174">
        <v>0.11980859222669962</v>
      </c>
      <c r="M174">
        <v>0.13493670109574968</v>
      </c>
      <c r="N174">
        <v>0</v>
      </c>
      <c r="P174">
        <v>14.819000000000001</v>
      </c>
      <c r="Q174" t="s">
        <v>103</v>
      </c>
    </row>
    <row r="175" spans="1:17" x14ac:dyDescent="0.3">
      <c r="A175">
        <v>0.53448275862068961</v>
      </c>
      <c r="B175">
        <v>0.13580246913580249</v>
      </c>
      <c r="C175">
        <v>0.32537960954446854</v>
      </c>
      <c r="D175">
        <v>0.21705426356589144</v>
      </c>
      <c r="E175">
        <v>1</v>
      </c>
      <c r="F175">
        <v>4.9115913555992145E-2</v>
      </c>
      <c r="G175">
        <v>5.4249547920434002E-2</v>
      </c>
      <c r="H175">
        <v>0.13333333333333333</v>
      </c>
      <c r="I175">
        <v>0.21640857939790326</v>
      </c>
      <c r="J175">
        <v>0.27250000000000002</v>
      </c>
      <c r="K175">
        <v>0.32613436462102596</v>
      </c>
      <c r="L175">
        <v>0.18072435980761734</v>
      </c>
      <c r="M175">
        <v>0.30693642504965007</v>
      </c>
      <c r="N175">
        <v>0</v>
      </c>
      <c r="P175">
        <v>22.317</v>
      </c>
      <c r="Q175" t="s">
        <v>103</v>
      </c>
    </row>
    <row r="176" spans="1:17" x14ac:dyDescent="0.3">
      <c r="A176">
        <v>0.58448275862068966</v>
      </c>
      <c r="B176">
        <v>0.5679012345679012</v>
      </c>
      <c r="C176">
        <v>0.36659436008676788</v>
      </c>
      <c r="D176">
        <v>5.4263565891472861E-2</v>
      </c>
      <c r="E176">
        <v>1</v>
      </c>
      <c r="F176">
        <v>9.8231827111984291E-2</v>
      </c>
      <c r="G176">
        <v>0.21247739602169982</v>
      </c>
      <c r="H176">
        <v>0.1</v>
      </c>
      <c r="I176">
        <v>0.22843127825334233</v>
      </c>
      <c r="J176">
        <v>0.1825</v>
      </c>
      <c r="K176">
        <v>0.46685813227716205</v>
      </c>
      <c r="L176">
        <v>0.28419504744572988</v>
      </c>
      <c r="M176">
        <v>0.41421867451864475</v>
      </c>
      <c r="N176">
        <v>0</v>
      </c>
      <c r="P176">
        <v>35.052999999999997</v>
      </c>
      <c r="Q176" t="s">
        <v>103</v>
      </c>
    </row>
    <row r="177" spans="1:17" x14ac:dyDescent="0.3">
      <c r="A177">
        <v>0.53103448275862064</v>
      </c>
      <c r="B177">
        <v>0.93827160493827155</v>
      </c>
      <c r="C177">
        <v>0.36659436008676788</v>
      </c>
      <c r="D177">
        <v>8.5271317829457363E-2</v>
      </c>
      <c r="E177">
        <v>1</v>
      </c>
      <c r="F177">
        <v>0.14734774066797643</v>
      </c>
      <c r="G177">
        <v>0.35262206148282099</v>
      </c>
      <c r="H177">
        <v>0.11666666666666667</v>
      </c>
      <c r="I177">
        <v>0.22843127825334233</v>
      </c>
      <c r="J177">
        <v>0.1225</v>
      </c>
      <c r="K177">
        <v>0.80074789094063525</v>
      </c>
      <c r="L177">
        <v>0.47929123878850904</v>
      </c>
      <c r="M177">
        <v>0.69254982248702202</v>
      </c>
      <c r="N177">
        <v>1</v>
      </c>
      <c r="P177" t="s">
        <v>103</v>
      </c>
      <c r="Q177">
        <v>59.067</v>
      </c>
    </row>
    <row r="178" spans="1:17" x14ac:dyDescent="0.3">
      <c r="A178">
        <v>0.56896551724137934</v>
      </c>
      <c r="B178">
        <v>0.13580246913580249</v>
      </c>
      <c r="C178">
        <v>0.32104121475054231</v>
      </c>
      <c r="D178">
        <v>1</v>
      </c>
      <c r="E178">
        <v>1</v>
      </c>
      <c r="F178">
        <v>9.8231827111984291E-2</v>
      </c>
      <c r="G178">
        <v>0.25768535262206149</v>
      </c>
      <c r="H178">
        <v>0.11666666666666667</v>
      </c>
      <c r="I178">
        <v>0.19236318168702515</v>
      </c>
      <c r="J178">
        <v>0.17249999999999999</v>
      </c>
      <c r="K178">
        <v>1</v>
      </c>
      <c r="L178">
        <v>0.29618646821786043</v>
      </c>
      <c r="M178">
        <v>1</v>
      </c>
      <c r="N178">
        <v>1</v>
      </c>
      <c r="P178" t="s">
        <v>103</v>
      </c>
      <c r="Q178">
        <v>36.529000000000003</v>
      </c>
    </row>
    <row r="179" spans="1:17" x14ac:dyDescent="0.3">
      <c r="A179">
        <v>0.51724137931034486</v>
      </c>
      <c r="B179">
        <v>0.32098765432098769</v>
      </c>
      <c r="C179">
        <v>0.35791757049891543</v>
      </c>
      <c r="D179">
        <v>0.20155038759689919</v>
      </c>
      <c r="E179">
        <v>1</v>
      </c>
      <c r="F179">
        <v>4.9115913555992145E-2</v>
      </c>
      <c r="G179">
        <v>6.3291139240506333E-2</v>
      </c>
      <c r="H179">
        <v>8.3333333333333329E-2</v>
      </c>
      <c r="I179">
        <v>0.13224968740982976</v>
      </c>
      <c r="J179">
        <v>0.16500000000000001</v>
      </c>
      <c r="K179">
        <v>0.51111641039996958</v>
      </c>
      <c r="L179">
        <v>0.10698849603535683</v>
      </c>
      <c r="M179">
        <v>0.54694317284319827</v>
      </c>
      <c r="N179">
        <v>0</v>
      </c>
      <c r="P179">
        <v>13.241</v>
      </c>
      <c r="Q179" t="s">
        <v>103</v>
      </c>
    </row>
    <row r="180" spans="1:17" x14ac:dyDescent="0.3">
      <c r="A180">
        <v>0.34482758620689657</v>
      </c>
      <c r="B180">
        <v>0.5679012345679012</v>
      </c>
      <c r="C180">
        <v>0.32537960954446854</v>
      </c>
      <c r="D180">
        <v>8.5271317829457363E-2</v>
      </c>
      <c r="E180">
        <v>1</v>
      </c>
      <c r="F180">
        <v>6.8762278978389005E-2</v>
      </c>
      <c r="G180">
        <v>7.2332730560578665E-2</v>
      </c>
      <c r="H180">
        <v>0.15</v>
      </c>
      <c r="I180">
        <v>0.168317783976147</v>
      </c>
      <c r="J180">
        <v>0.26500000000000001</v>
      </c>
      <c r="K180">
        <v>0.45253277206952208</v>
      </c>
      <c r="L180">
        <v>0.21653613674769273</v>
      </c>
      <c r="M180">
        <v>0.43025618611641486</v>
      </c>
      <c r="N180">
        <v>0</v>
      </c>
      <c r="P180">
        <v>26.725000000000001</v>
      </c>
      <c r="Q180" t="s">
        <v>103</v>
      </c>
    </row>
    <row r="181" spans="1:17" x14ac:dyDescent="0.3">
      <c r="A181">
        <v>0.53448275862068961</v>
      </c>
      <c r="B181">
        <v>0.19753086419753088</v>
      </c>
      <c r="C181">
        <v>0.32537960954446854</v>
      </c>
      <c r="D181">
        <v>0.10077519379844961</v>
      </c>
      <c r="E181">
        <v>1</v>
      </c>
      <c r="F181">
        <v>0</v>
      </c>
      <c r="G181">
        <v>8.5895117540687169E-2</v>
      </c>
      <c r="H181">
        <v>0.1</v>
      </c>
      <c r="I181">
        <v>0.15629508512070789</v>
      </c>
      <c r="J181">
        <v>0.08</v>
      </c>
      <c r="K181">
        <v>0.27230971808935295</v>
      </c>
      <c r="L181">
        <v>5.9177174054335112E-2</v>
      </c>
      <c r="M181">
        <v>0.30458619922860464</v>
      </c>
      <c r="N181">
        <v>0</v>
      </c>
      <c r="P181">
        <v>7.3559999999999999</v>
      </c>
      <c r="Q181" t="s">
        <v>103</v>
      </c>
    </row>
    <row r="182" spans="1:17" x14ac:dyDescent="0.3">
      <c r="A182">
        <v>0.20172413793103447</v>
      </c>
      <c r="B182">
        <v>0.2592592592592593</v>
      </c>
      <c r="C182">
        <v>0.39045553145336226</v>
      </c>
      <c r="D182">
        <v>0.17829457364341084</v>
      </c>
      <c r="E182">
        <v>1</v>
      </c>
      <c r="F182">
        <v>4.9115913555992145E-2</v>
      </c>
      <c r="G182">
        <v>0.11301989150090416</v>
      </c>
      <c r="H182">
        <v>0.05</v>
      </c>
      <c r="I182">
        <v>0.2043858805424642</v>
      </c>
      <c r="J182">
        <v>0.1925</v>
      </c>
      <c r="K182">
        <v>0.17298261257244765</v>
      </c>
      <c r="L182">
        <v>0.12954146626803589</v>
      </c>
      <c r="M182">
        <v>0.1611917523559768</v>
      </c>
      <c r="N182">
        <v>0</v>
      </c>
      <c r="P182">
        <v>16.016999999999999</v>
      </c>
      <c r="Q182" t="s">
        <v>103</v>
      </c>
    </row>
    <row r="183" spans="1:17" x14ac:dyDescent="0.3">
      <c r="A183">
        <v>0</v>
      </c>
      <c r="B183">
        <v>0.2592592592592593</v>
      </c>
      <c r="C183">
        <v>0.32537960954446854</v>
      </c>
      <c r="D183">
        <v>0.17829457364341084</v>
      </c>
      <c r="E183">
        <v>1</v>
      </c>
      <c r="F183">
        <v>4.9115913555992145E-2</v>
      </c>
      <c r="G183">
        <v>9.49367088607595E-2</v>
      </c>
      <c r="H183">
        <v>3.3333333333333333E-2</v>
      </c>
      <c r="I183">
        <v>0.2043858805424642</v>
      </c>
      <c r="J183">
        <v>0.1875</v>
      </c>
      <c r="K183">
        <v>5.8203471955817765E-2</v>
      </c>
      <c r="L183">
        <v>9.5224554790068902E-2</v>
      </c>
      <c r="M183">
        <v>5.0056359412021821E-2</v>
      </c>
      <c r="N183">
        <v>0</v>
      </c>
      <c r="P183">
        <v>11.792999999999999</v>
      </c>
      <c r="Q183" t="s">
        <v>103</v>
      </c>
    </row>
    <row r="184" spans="1:17" x14ac:dyDescent="0.3">
      <c r="A184">
        <v>0.68793103448275861</v>
      </c>
      <c r="B184">
        <v>0.5679012345679012</v>
      </c>
      <c r="C184">
        <v>0.34707158351409978</v>
      </c>
      <c r="D184">
        <v>8.5271317829457363E-2</v>
      </c>
      <c r="E184">
        <v>1</v>
      </c>
      <c r="F184">
        <v>4.9115913555992145E-2</v>
      </c>
      <c r="G184">
        <v>6.3291139240506333E-2</v>
      </c>
      <c r="H184">
        <v>0.11666666666666667</v>
      </c>
      <c r="I184">
        <v>0.168317783976147</v>
      </c>
      <c r="J184">
        <v>0.1825</v>
      </c>
      <c r="K184">
        <v>0.34147926192426398</v>
      </c>
      <c r="L184">
        <v>0.23303652671259589</v>
      </c>
      <c r="M184">
        <v>0.2992723118094055</v>
      </c>
      <c r="N184">
        <v>0</v>
      </c>
      <c r="P184">
        <v>28.756</v>
      </c>
      <c r="Q184" t="s">
        <v>103</v>
      </c>
    </row>
    <row r="185" spans="1:17" x14ac:dyDescent="0.3">
      <c r="A185">
        <v>0.17241379310344829</v>
      </c>
      <c r="B185">
        <v>0.38271604938271608</v>
      </c>
      <c r="C185">
        <v>0.33839479392624727</v>
      </c>
      <c r="D185">
        <v>0.3410852713178294</v>
      </c>
      <c r="E185">
        <v>1</v>
      </c>
      <c r="F185">
        <v>0.14734774066797643</v>
      </c>
      <c r="G185">
        <v>0.2848101265822785</v>
      </c>
      <c r="H185">
        <v>6.6666666666666666E-2</v>
      </c>
      <c r="I185">
        <v>0.34865826680773304</v>
      </c>
      <c r="J185">
        <v>0.1925</v>
      </c>
      <c r="K185">
        <v>6.9974805337535903E-2</v>
      </c>
      <c r="L185">
        <v>0.20572273495385415</v>
      </c>
      <c r="M185">
        <v>1.0968998489414402E-2</v>
      </c>
      <c r="N185">
        <v>0</v>
      </c>
      <c r="P185">
        <v>25.393999999999998</v>
      </c>
      <c r="Q185" t="s">
        <v>103</v>
      </c>
    </row>
    <row r="186" spans="1:17" x14ac:dyDescent="0.3">
      <c r="A186">
        <v>0.39655172413793105</v>
      </c>
      <c r="B186">
        <v>0.5679012345679012</v>
      </c>
      <c r="C186">
        <v>0.30802603036876358</v>
      </c>
      <c r="D186">
        <v>0.20155038759689919</v>
      </c>
      <c r="E186">
        <v>1</v>
      </c>
      <c r="F186">
        <v>9.8231827111984291E-2</v>
      </c>
      <c r="G186">
        <v>0.23508137432188067</v>
      </c>
      <c r="H186">
        <v>6.6666666666666666E-2</v>
      </c>
      <c r="I186">
        <v>0.1803404828315861</v>
      </c>
      <c r="J186">
        <v>0.16</v>
      </c>
      <c r="K186">
        <v>0.18982052691059523</v>
      </c>
      <c r="L186">
        <v>0.17776712595866373</v>
      </c>
      <c r="M186">
        <v>0.15711240443820784</v>
      </c>
      <c r="N186">
        <v>0</v>
      </c>
      <c r="P186">
        <v>21.952999999999999</v>
      </c>
      <c r="Q186" t="s">
        <v>103</v>
      </c>
    </row>
    <row r="187" spans="1:17" x14ac:dyDescent="0.3">
      <c r="A187">
        <v>0.27586206896551724</v>
      </c>
      <c r="B187">
        <v>0.13580246913580249</v>
      </c>
      <c r="C187">
        <v>0.33839479392624727</v>
      </c>
      <c r="D187">
        <v>0.34883720930232559</v>
      </c>
      <c r="E187">
        <v>1</v>
      </c>
      <c r="F187">
        <v>4.9115913555992145E-2</v>
      </c>
      <c r="G187">
        <v>0.13110307414104883</v>
      </c>
      <c r="H187">
        <v>3.3333333333333333E-2</v>
      </c>
      <c r="I187">
        <v>0.13224968740982976</v>
      </c>
      <c r="J187">
        <v>0.13750000000000001</v>
      </c>
      <c r="K187">
        <v>0.11850477108800161</v>
      </c>
      <c r="L187">
        <v>0.24605972962433384</v>
      </c>
      <c r="M187">
        <v>4.5769976919478872E-2</v>
      </c>
      <c r="N187">
        <v>0</v>
      </c>
      <c r="P187">
        <v>30.359000000000002</v>
      </c>
      <c r="Q187" t="s">
        <v>103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86"/>
  <sheetViews>
    <sheetView workbookViewId="0">
      <selection activeCell="B8" sqref="B8"/>
    </sheetView>
  </sheetViews>
  <sheetFormatPr defaultRowHeight="14.4" x14ac:dyDescent="0.3"/>
  <sheetData>
    <row r="1" spans="1:11" x14ac:dyDescent="0.3">
      <c r="A1" s="70" t="s">
        <v>104</v>
      </c>
      <c r="B1" s="70" t="s">
        <v>105</v>
      </c>
      <c r="C1" s="70" t="s">
        <v>106</v>
      </c>
      <c r="D1" s="70" t="s">
        <v>107</v>
      </c>
      <c r="E1" s="70" t="s">
        <v>108</v>
      </c>
      <c r="F1" s="70" t="s">
        <v>109</v>
      </c>
      <c r="G1" s="70" t="s">
        <v>110</v>
      </c>
      <c r="H1" s="70" t="s">
        <v>111</v>
      </c>
      <c r="I1" s="70" t="s">
        <v>112</v>
      </c>
      <c r="J1" s="70" t="s">
        <v>113</v>
      </c>
      <c r="K1" s="70" t="s">
        <v>114</v>
      </c>
    </row>
    <row r="2" spans="1:11" x14ac:dyDescent="0.3">
      <c r="A2" s="8">
        <v>720</v>
      </c>
      <c r="B2" s="8">
        <v>2</v>
      </c>
      <c r="C2" s="8">
        <v>350</v>
      </c>
      <c r="D2" s="8">
        <v>1.75</v>
      </c>
      <c r="E2" s="8">
        <v>0.83899999999999997</v>
      </c>
      <c r="F2" s="8">
        <v>69.7</v>
      </c>
      <c r="G2" s="8">
        <v>186.6</v>
      </c>
      <c r="H2" s="8">
        <v>36.5</v>
      </c>
      <c r="I2" s="8">
        <v>3.8999999999999998E-3</v>
      </c>
      <c r="J2" s="8">
        <v>285</v>
      </c>
      <c r="K2">
        <v>1</v>
      </c>
    </row>
    <row r="3" spans="1:11" x14ac:dyDescent="0.3">
      <c r="A3" s="8">
        <v>700</v>
      </c>
      <c r="B3" s="8">
        <v>4</v>
      </c>
      <c r="C3" s="8">
        <v>360</v>
      </c>
      <c r="D3" s="8">
        <v>0.6</v>
      </c>
      <c r="E3" s="8">
        <v>0.73</v>
      </c>
      <c r="F3" s="8">
        <v>60.8</v>
      </c>
      <c r="G3" s="8">
        <v>121.7</v>
      </c>
      <c r="H3" s="8">
        <v>38.24</v>
      </c>
      <c r="I3" s="8">
        <v>4.0899999999999999E-3</v>
      </c>
      <c r="J3" s="8">
        <v>360</v>
      </c>
      <c r="K3">
        <v>1</v>
      </c>
    </row>
    <row r="4" spans="1:11" x14ac:dyDescent="0.3">
      <c r="A4" s="8">
        <v>660</v>
      </c>
      <c r="B4" s="8">
        <v>1.4</v>
      </c>
      <c r="C4" s="8">
        <v>345</v>
      </c>
      <c r="D4" s="8">
        <v>1.8</v>
      </c>
      <c r="E4" s="8">
        <v>0.73</v>
      </c>
      <c r="F4" s="8">
        <v>50</v>
      </c>
      <c r="G4" s="8">
        <v>142</v>
      </c>
      <c r="H4" s="8">
        <v>29</v>
      </c>
      <c r="I4" s="8">
        <v>5.0000000000000001E-3</v>
      </c>
      <c r="J4" s="8">
        <v>280</v>
      </c>
      <c r="K4">
        <v>0</v>
      </c>
    </row>
    <row r="5" spans="1:11" x14ac:dyDescent="0.3">
      <c r="A5" s="8">
        <v>650</v>
      </c>
      <c r="B5" s="8">
        <v>1.9</v>
      </c>
      <c r="C5" s="8">
        <v>335</v>
      </c>
      <c r="D5" s="8">
        <v>2</v>
      </c>
      <c r="E5" s="8">
        <v>0.7</v>
      </c>
      <c r="F5" s="8">
        <v>50</v>
      </c>
      <c r="G5" s="8">
        <v>133.36000000000001</v>
      </c>
      <c r="H5" s="8">
        <v>40.338999999999999</v>
      </c>
      <c r="I5" s="8">
        <v>2.6760999999999998E-3</v>
      </c>
      <c r="J5" s="8">
        <v>270</v>
      </c>
      <c r="K5">
        <v>1</v>
      </c>
    </row>
    <row r="6" spans="1:11" x14ac:dyDescent="0.3">
      <c r="A6" s="8">
        <v>675</v>
      </c>
      <c r="B6" s="8">
        <v>1.5</v>
      </c>
      <c r="C6" s="8">
        <v>325</v>
      </c>
      <c r="D6" s="8">
        <v>1.5</v>
      </c>
      <c r="E6" s="8">
        <v>0.73</v>
      </c>
      <c r="F6" s="8">
        <v>50</v>
      </c>
      <c r="G6" s="8">
        <v>161.1</v>
      </c>
      <c r="H6" s="8">
        <v>38.764000000000003</v>
      </c>
      <c r="I6" s="8">
        <v>3.3999999999999998E-3</v>
      </c>
      <c r="J6" s="8">
        <v>260</v>
      </c>
      <c r="K6">
        <v>1</v>
      </c>
    </row>
    <row r="7" spans="1:11" x14ac:dyDescent="0.3">
      <c r="A7" s="8">
        <v>680</v>
      </c>
      <c r="B7" s="8">
        <v>1.5</v>
      </c>
      <c r="C7" s="8">
        <v>280</v>
      </c>
      <c r="D7" s="8">
        <v>1.8</v>
      </c>
      <c r="E7" s="8">
        <v>0.73</v>
      </c>
      <c r="F7" s="8">
        <v>50</v>
      </c>
      <c r="G7" s="8">
        <v>171.07</v>
      </c>
      <c r="H7" s="8">
        <v>28.678000000000001</v>
      </c>
      <c r="I7" s="8">
        <v>3.2152999999999999E-3</v>
      </c>
      <c r="J7" s="8">
        <v>215</v>
      </c>
      <c r="K7">
        <v>1</v>
      </c>
    </row>
    <row r="8" spans="1:11" x14ac:dyDescent="0.3">
      <c r="A8" s="8">
        <v>670</v>
      </c>
      <c r="B8" s="8">
        <v>2.2000000000000002</v>
      </c>
      <c r="C8" s="8">
        <v>323</v>
      </c>
      <c r="D8" s="8">
        <v>1.8</v>
      </c>
      <c r="E8" s="8">
        <v>0.73</v>
      </c>
      <c r="F8" s="8">
        <v>50</v>
      </c>
      <c r="G8" s="8">
        <v>119.57</v>
      </c>
      <c r="H8" s="8">
        <v>33.802999999999997</v>
      </c>
      <c r="I8" s="8">
        <v>4.3206E-3</v>
      </c>
      <c r="J8" s="8">
        <v>258</v>
      </c>
      <c r="K8">
        <v>0</v>
      </c>
    </row>
    <row r="9" spans="1:11" x14ac:dyDescent="0.3">
      <c r="A9" s="8">
        <v>300</v>
      </c>
      <c r="B9" s="8">
        <v>2.4</v>
      </c>
      <c r="C9" s="8">
        <v>360</v>
      </c>
      <c r="D9" s="8">
        <v>1.4</v>
      </c>
      <c r="E9" s="8">
        <v>0.73</v>
      </c>
      <c r="F9" s="8">
        <v>51</v>
      </c>
      <c r="G9" s="8">
        <v>127.07</v>
      </c>
      <c r="H9" s="8">
        <v>37.764000000000003</v>
      </c>
      <c r="I9" s="8">
        <v>3.1829000000000002E-3</v>
      </c>
      <c r="J9" s="8">
        <v>250</v>
      </c>
      <c r="K9">
        <v>0</v>
      </c>
    </row>
    <row r="10" spans="1:11" x14ac:dyDescent="0.3">
      <c r="A10" s="8">
        <v>250</v>
      </c>
      <c r="B10" s="8">
        <v>2.4</v>
      </c>
      <c r="C10" s="8">
        <v>315</v>
      </c>
      <c r="D10" s="8">
        <v>1.5</v>
      </c>
      <c r="E10" s="8">
        <v>0.73</v>
      </c>
      <c r="F10" s="8">
        <v>50</v>
      </c>
      <c r="G10" s="8">
        <v>149.91</v>
      </c>
      <c r="H10" s="8">
        <v>39.582000000000001</v>
      </c>
      <c r="I10" s="8">
        <v>2.7633000000000002E-3</v>
      </c>
      <c r="J10" s="8">
        <v>215</v>
      </c>
      <c r="K10">
        <v>0</v>
      </c>
    </row>
    <row r="11" spans="1:11" x14ac:dyDescent="0.3">
      <c r="A11" s="8">
        <v>715</v>
      </c>
      <c r="B11" s="8">
        <v>2.2000000000000002</v>
      </c>
      <c r="C11" s="8">
        <v>345</v>
      </c>
      <c r="D11" s="8">
        <v>1.8</v>
      </c>
      <c r="E11" s="8">
        <v>0.73</v>
      </c>
      <c r="F11" s="8">
        <v>50</v>
      </c>
      <c r="G11" s="8">
        <v>89.617000000000004</v>
      </c>
      <c r="H11" s="8">
        <v>47.92</v>
      </c>
      <c r="I11" s="8">
        <v>4.4275E-3</v>
      </c>
      <c r="J11" s="8">
        <v>280</v>
      </c>
      <c r="K11">
        <v>1</v>
      </c>
    </row>
    <row r="12" spans="1:11" x14ac:dyDescent="0.3">
      <c r="A12" s="8">
        <v>700</v>
      </c>
      <c r="B12" s="8">
        <v>3.7</v>
      </c>
      <c r="C12" s="8">
        <v>310</v>
      </c>
      <c r="D12" s="8">
        <v>1.8</v>
      </c>
      <c r="E12" s="8">
        <v>0.62</v>
      </c>
      <c r="F12" s="8">
        <v>55.5</v>
      </c>
      <c r="G12" s="8">
        <v>103.2</v>
      </c>
      <c r="H12" s="8">
        <v>54.6</v>
      </c>
      <c r="I12" s="8">
        <v>3.3E-3</v>
      </c>
      <c r="J12" s="8">
        <v>210</v>
      </c>
      <c r="K12">
        <v>0</v>
      </c>
    </row>
    <row r="13" spans="1:11" x14ac:dyDescent="0.3">
      <c r="A13" s="8">
        <v>640</v>
      </c>
      <c r="B13" s="8">
        <v>1.5</v>
      </c>
      <c r="C13" s="8">
        <v>315</v>
      </c>
      <c r="D13" s="8">
        <v>1.8</v>
      </c>
      <c r="E13" s="8">
        <v>0.73</v>
      </c>
      <c r="F13" s="8">
        <v>50</v>
      </c>
      <c r="G13" s="8">
        <v>153.08000000000001</v>
      </c>
      <c r="H13" s="8">
        <v>33.192999999999998</v>
      </c>
      <c r="I13" s="8">
        <v>3.4043999999999997E-3</v>
      </c>
      <c r="J13" s="8">
        <v>250</v>
      </c>
      <c r="K13">
        <v>1</v>
      </c>
    </row>
    <row r="14" spans="1:11" x14ac:dyDescent="0.3">
      <c r="A14" s="8">
        <v>750</v>
      </c>
      <c r="B14" s="8">
        <v>1</v>
      </c>
      <c r="C14" s="8">
        <v>315</v>
      </c>
      <c r="D14" s="8">
        <v>2.7</v>
      </c>
      <c r="E14" s="8">
        <v>0.73</v>
      </c>
      <c r="F14" s="8">
        <v>50</v>
      </c>
      <c r="G14" s="8">
        <v>142.43</v>
      </c>
      <c r="H14" s="8">
        <v>30.123999999999999</v>
      </c>
      <c r="I14" s="8">
        <v>4.5926999999999999E-3</v>
      </c>
      <c r="J14" s="8">
        <v>250</v>
      </c>
      <c r="K14">
        <v>0</v>
      </c>
    </row>
    <row r="15" spans="1:11" x14ac:dyDescent="0.3">
      <c r="A15" s="8">
        <v>375</v>
      </c>
      <c r="B15" s="8">
        <v>2</v>
      </c>
      <c r="C15" s="8">
        <v>285</v>
      </c>
      <c r="D15" s="8">
        <v>1.8</v>
      </c>
      <c r="E15" s="8">
        <v>0.73</v>
      </c>
      <c r="F15" s="8">
        <v>60.8</v>
      </c>
      <c r="G15" s="8">
        <v>132.1</v>
      </c>
      <c r="H15" s="8">
        <v>47.64</v>
      </c>
      <c r="I15" s="8">
        <v>3.13E-3</v>
      </c>
      <c r="J15" s="8">
        <v>225</v>
      </c>
      <c r="K15">
        <v>1</v>
      </c>
    </row>
    <row r="16" spans="1:11" x14ac:dyDescent="0.3">
      <c r="A16" s="8">
        <v>670</v>
      </c>
      <c r="B16" s="8">
        <v>1.4</v>
      </c>
      <c r="C16" s="8">
        <v>320</v>
      </c>
      <c r="D16" s="8">
        <v>1.5</v>
      </c>
      <c r="E16" s="8">
        <v>0.73</v>
      </c>
      <c r="F16" s="8">
        <v>50</v>
      </c>
      <c r="G16" s="8">
        <v>123.93</v>
      </c>
      <c r="H16" s="8">
        <v>42.43</v>
      </c>
      <c r="I16" s="8">
        <v>3.2503000000000002E-3</v>
      </c>
      <c r="J16" s="8">
        <v>255</v>
      </c>
      <c r="K16">
        <v>0</v>
      </c>
    </row>
    <row r="17" spans="1:11" x14ac:dyDescent="0.3">
      <c r="A17" s="8">
        <v>470</v>
      </c>
      <c r="B17" s="8">
        <v>3.2</v>
      </c>
      <c r="C17" s="8">
        <v>320</v>
      </c>
      <c r="D17" s="8">
        <v>1.5</v>
      </c>
      <c r="E17" s="8">
        <v>0.78</v>
      </c>
      <c r="F17" s="8">
        <v>50</v>
      </c>
      <c r="G17" s="8">
        <v>125.3</v>
      </c>
      <c r="H17" s="8">
        <v>37.700000000000003</v>
      </c>
      <c r="I17" s="8">
        <v>3.4306000000000002E-3</v>
      </c>
      <c r="J17" s="8">
        <v>255</v>
      </c>
      <c r="K17">
        <v>1</v>
      </c>
    </row>
    <row r="18" spans="1:11" x14ac:dyDescent="0.3">
      <c r="A18" s="8">
        <v>690</v>
      </c>
      <c r="B18" s="8">
        <v>4</v>
      </c>
      <c r="C18" s="8">
        <v>320</v>
      </c>
      <c r="D18" s="8">
        <v>1.5</v>
      </c>
      <c r="E18" s="8">
        <v>0.83899999999999997</v>
      </c>
      <c r="F18" s="8">
        <v>50</v>
      </c>
      <c r="G18" s="8">
        <v>172.49</v>
      </c>
      <c r="H18" s="8">
        <v>33.149000000000001</v>
      </c>
      <c r="I18" s="8">
        <v>3.1316999999999998E-3</v>
      </c>
      <c r="J18" s="8">
        <v>255</v>
      </c>
      <c r="K18">
        <v>1</v>
      </c>
    </row>
    <row r="19" spans="1:11" x14ac:dyDescent="0.3">
      <c r="A19" s="8">
        <v>380</v>
      </c>
      <c r="B19" s="8">
        <v>2.6</v>
      </c>
      <c r="C19" s="8">
        <v>260</v>
      </c>
      <c r="D19" s="8">
        <v>0.8</v>
      </c>
      <c r="E19" s="8">
        <v>0.73</v>
      </c>
      <c r="F19" s="8">
        <v>101.8</v>
      </c>
      <c r="G19" s="8">
        <v>253.2</v>
      </c>
      <c r="H19" s="8">
        <v>33.5</v>
      </c>
      <c r="I19" s="8">
        <v>5.0000000000000001E-3</v>
      </c>
      <c r="J19" s="8">
        <v>140</v>
      </c>
      <c r="K19">
        <v>1</v>
      </c>
    </row>
    <row r="20" spans="1:11" x14ac:dyDescent="0.3">
      <c r="A20" s="8">
        <v>700</v>
      </c>
      <c r="B20" s="8">
        <v>3</v>
      </c>
      <c r="C20" s="8">
        <v>312</v>
      </c>
      <c r="D20" s="8">
        <v>2</v>
      </c>
      <c r="E20" s="8">
        <v>0.73</v>
      </c>
      <c r="F20" s="8">
        <v>50</v>
      </c>
      <c r="G20" s="8">
        <v>168.58</v>
      </c>
      <c r="H20" s="8">
        <v>32.664000000000001</v>
      </c>
      <c r="I20" s="8">
        <v>3.2743000000000004E-3</v>
      </c>
      <c r="J20" s="8">
        <v>247</v>
      </c>
      <c r="K20">
        <v>1</v>
      </c>
    </row>
    <row r="21" spans="1:11" x14ac:dyDescent="0.3">
      <c r="A21" s="8">
        <v>690</v>
      </c>
      <c r="B21" s="8">
        <v>2.2999999999999998</v>
      </c>
      <c r="C21" s="8">
        <v>310</v>
      </c>
      <c r="D21" s="8">
        <v>1.7</v>
      </c>
      <c r="E21" s="8">
        <v>0.73</v>
      </c>
      <c r="F21" s="8">
        <v>59.7</v>
      </c>
      <c r="G21" s="8">
        <v>173.5</v>
      </c>
      <c r="H21" s="8">
        <v>30</v>
      </c>
      <c r="I21" s="8">
        <v>4.3E-3</v>
      </c>
      <c r="J21" s="8">
        <v>160</v>
      </c>
      <c r="K21">
        <v>0</v>
      </c>
    </row>
    <row r="22" spans="1:11" x14ac:dyDescent="0.3">
      <c r="A22" s="8">
        <v>669</v>
      </c>
      <c r="B22" s="8">
        <v>4</v>
      </c>
      <c r="C22" s="8">
        <v>345</v>
      </c>
      <c r="D22" s="8">
        <v>2.6</v>
      </c>
      <c r="E22" s="8">
        <v>0.7</v>
      </c>
      <c r="F22" s="8">
        <v>50</v>
      </c>
      <c r="G22" s="8">
        <v>144.04</v>
      </c>
      <c r="H22" s="8">
        <v>34.904000000000003</v>
      </c>
      <c r="I22" s="8">
        <v>2.8883999999999997E-3</v>
      </c>
      <c r="J22" s="8">
        <v>280</v>
      </c>
      <c r="K22">
        <v>1</v>
      </c>
    </row>
    <row r="23" spans="1:11" x14ac:dyDescent="0.3">
      <c r="A23" s="8">
        <v>705</v>
      </c>
      <c r="B23" s="8">
        <v>3.2</v>
      </c>
      <c r="C23" s="8">
        <v>325</v>
      </c>
      <c r="D23" s="8">
        <v>1.5</v>
      </c>
      <c r="E23" s="8">
        <v>0.73</v>
      </c>
      <c r="F23" s="8">
        <v>50</v>
      </c>
      <c r="G23" s="8">
        <v>156.27000000000001</v>
      </c>
      <c r="H23" s="8">
        <v>27.914000000000001</v>
      </c>
      <c r="I23" s="8">
        <v>2.9159000000000003E-3</v>
      </c>
      <c r="J23" s="8">
        <v>260</v>
      </c>
      <c r="K23">
        <v>1</v>
      </c>
    </row>
    <row r="24" spans="1:11" x14ac:dyDescent="0.3">
      <c r="A24" s="8">
        <v>590</v>
      </c>
      <c r="B24" s="8">
        <v>2.5</v>
      </c>
      <c r="C24" s="8">
        <v>315</v>
      </c>
      <c r="D24" s="8">
        <v>2.4</v>
      </c>
      <c r="E24" s="8">
        <v>0.75</v>
      </c>
      <c r="F24" s="8">
        <v>50</v>
      </c>
      <c r="G24" s="8">
        <v>128.93</v>
      </c>
      <c r="H24" s="8">
        <v>42.814</v>
      </c>
      <c r="I24" s="8">
        <v>3.1303999999999998E-3</v>
      </c>
      <c r="J24" s="8">
        <v>250</v>
      </c>
      <c r="K24">
        <v>1</v>
      </c>
    </row>
    <row r="25" spans="1:11" x14ac:dyDescent="0.3">
      <c r="A25" s="8">
        <v>640</v>
      </c>
      <c r="B25" s="8">
        <v>2.5</v>
      </c>
      <c r="C25" s="8">
        <v>315</v>
      </c>
      <c r="D25" s="8">
        <v>1.8</v>
      </c>
      <c r="E25" s="8">
        <v>0.73</v>
      </c>
      <c r="F25" s="8">
        <v>50</v>
      </c>
      <c r="G25" s="8">
        <v>144.69999999999999</v>
      </c>
      <c r="H25" s="8">
        <v>34.476999999999997</v>
      </c>
      <c r="I25" s="8">
        <v>3.3769E-3</v>
      </c>
      <c r="J25" s="8">
        <v>250</v>
      </c>
      <c r="K25">
        <v>0</v>
      </c>
    </row>
    <row r="26" spans="1:11" x14ac:dyDescent="0.3">
      <c r="A26" s="8">
        <v>690</v>
      </c>
      <c r="B26" s="8">
        <v>2</v>
      </c>
      <c r="C26" s="8">
        <v>330</v>
      </c>
      <c r="D26" s="8">
        <v>1.5</v>
      </c>
      <c r="E26" s="8">
        <v>0.73</v>
      </c>
      <c r="F26" s="8">
        <v>50</v>
      </c>
      <c r="G26" s="8">
        <v>145.82</v>
      </c>
      <c r="H26" s="8">
        <v>33.773000000000003</v>
      </c>
      <c r="I26" s="8">
        <v>3.6706E-3</v>
      </c>
      <c r="J26" s="8">
        <v>265</v>
      </c>
      <c r="K26">
        <v>1</v>
      </c>
    </row>
    <row r="27" spans="1:11" x14ac:dyDescent="0.3">
      <c r="A27" s="8">
        <v>655</v>
      </c>
      <c r="B27" s="8">
        <v>2.6</v>
      </c>
      <c r="C27" s="8">
        <v>345</v>
      </c>
      <c r="D27" s="8">
        <v>2.82</v>
      </c>
      <c r="E27" s="8">
        <v>0.73</v>
      </c>
      <c r="F27" s="8">
        <v>51</v>
      </c>
      <c r="G27" s="8">
        <v>125.48</v>
      </c>
      <c r="H27" s="8">
        <v>37.799999999999997</v>
      </c>
      <c r="I27" s="8">
        <v>3.176E-3</v>
      </c>
      <c r="J27" s="8">
        <v>280</v>
      </c>
      <c r="K27">
        <v>1</v>
      </c>
    </row>
    <row r="28" spans="1:11" x14ac:dyDescent="0.3">
      <c r="A28" s="8">
        <v>700</v>
      </c>
      <c r="B28" s="8">
        <v>5</v>
      </c>
      <c r="C28" s="8">
        <v>340</v>
      </c>
      <c r="D28" s="8">
        <v>0.6</v>
      </c>
      <c r="E28" s="8">
        <v>0.73</v>
      </c>
      <c r="F28" s="8">
        <v>69.8</v>
      </c>
      <c r="G28" s="8">
        <v>153</v>
      </c>
      <c r="H28" s="8">
        <v>29</v>
      </c>
      <c r="I28" s="8">
        <v>5.0312063138558899E-3</v>
      </c>
      <c r="J28" s="8">
        <v>260</v>
      </c>
      <c r="K28">
        <v>1</v>
      </c>
    </row>
    <row r="29" spans="1:11" x14ac:dyDescent="0.3">
      <c r="A29" s="8">
        <v>640</v>
      </c>
      <c r="B29" s="8">
        <v>5.5</v>
      </c>
      <c r="C29" s="8">
        <v>330</v>
      </c>
      <c r="D29" s="8">
        <v>1.1000000000000001</v>
      </c>
      <c r="E29" s="8">
        <v>0.73</v>
      </c>
      <c r="F29" s="8">
        <v>69.8</v>
      </c>
      <c r="G29" s="8">
        <v>142.9</v>
      </c>
      <c r="H29" s="8">
        <v>42.16</v>
      </c>
      <c r="I29" s="8">
        <v>4.1599999999999996E-3</v>
      </c>
      <c r="J29" s="8">
        <v>265</v>
      </c>
      <c r="K29">
        <v>1</v>
      </c>
    </row>
    <row r="30" spans="1:11" x14ac:dyDescent="0.3">
      <c r="A30" s="8">
        <v>700</v>
      </c>
      <c r="B30" s="8">
        <v>5.2</v>
      </c>
      <c r="C30" s="8">
        <v>345</v>
      </c>
      <c r="D30" s="8">
        <v>1</v>
      </c>
      <c r="E30" s="8">
        <v>0.73</v>
      </c>
      <c r="F30" s="8">
        <v>69.8</v>
      </c>
      <c r="G30" s="8">
        <v>166.6</v>
      </c>
      <c r="H30" s="8">
        <v>44.3</v>
      </c>
      <c r="I30" s="8">
        <v>3.0699999999999998E-3</v>
      </c>
      <c r="J30" s="8">
        <v>280</v>
      </c>
      <c r="K30">
        <v>1</v>
      </c>
    </row>
    <row r="31" spans="1:11" x14ac:dyDescent="0.3">
      <c r="A31" s="8">
        <v>610</v>
      </c>
      <c r="B31" s="8">
        <v>4.5999999999999996</v>
      </c>
      <c r="C31" s="8">
        <v>290</v>
      </c>
      <c r="D31" s="8">
        <v>3</v>
      </c>
      <c r="E31" s="8">
        <v>0.84</v>
      </c>
      <c r="F31" s="8">
        <v>51</v>
      </c>
      <c r="G31" s="8">
        <v>143.25</v>
      </c>
      <c r="H31" s="8">
        <v>18.702999999999999</v>
      </c>
      <c r="I31" s="8">
        <v>6.0019000000000001E-3</v>
      </c>
      <c r="J31" s="8">
        <v>225</v>
      </c>
      <c r="K31">
        <v>1</v>
      </c>
    </row>
    <row r="32" spans="1:11" x14ac:dyDescent="0.3">
      <c r="A32" s="8">
        <v>690</v>
      </c>
      <c r="B32" s="8">
        <v>5</v>
      </c>
      <c r="C32" s="8">
        <v>270</v>
      </c>
      <c r="D32" s="8">
        <v>0.89</v>
      </c>
      <c r="E32" s="8">
        <v>0.84</v>
      </c>
      <c r="F32" s="8">
        <v>38.299999999999997</v>
      </c>
      <c r="G32" s="8">
        <v>157</v>
      </c>
      <c r="H32" s="8">
        <v>37</v>
      </c>
      <c r="I32" s="8">
        <v>4.4424946828891757E-3</v>
      </c>
      <c r="J32" s="8">
        <v>220</v>
      </c>
      <c r="K32">
        <v>1</v>
      </c>
    </row>
    <row r="33" spans="1:11" x14ac:dyDescent="0.3">
      <c r="A33" s="8">
        <v>700</v>
      </c>
      <c r="B33" s="8">
        <v>2</v>
      </c>
      <c r="C33" s="8">
        <v>330</v>
      </c>
      <c r="D33" s="8">
        <v>2.4</v>
      </c>
      <c r="E33" s="8">
        <v>0.75</v>
      </c>
      <c r="F33" s="8">
        <v>50</v>
      </c>
      <c r="G33" s="8">
        <v>137.74</v>
      </c>
      <c r="H33" s="8">
        <v>33.912999999999997</v>
      </c>
      <c r="I33" s="8">
        <v>3.3296999999999997E-3</v>
      </c>
      <c r="J33" s="8">
        <v>265</v>
      </c>
      <c r="K33">
        <v>1</v>
      </c>
    </row>
    <row r="34" spans="1:11" x14ac:dyDescent="0.3">
      <c r="A34" s="8">
        <v>700</v>
      </c>
      <c r="B34" s="8">
        <v>0.8</v>
      </c>
      <c r="C34" s="8">
        <v>330</v>
      </c>
      <c r="D34" s="8">
        <v>1.4</v>
      </c>
      <c r="E34" s="8">
        <v>0.73</v>
      </c>
      <c r="F34" s="8">
        <v>50</v>
      </c>
      <c r="G34" s="8">
        <v>121.28</v>
      </c>
      <c r="H34" s="8">
        <v>38.636000000000003</v>
      </c>
      <c r="I34" s="8">
        <v>3.7904000000000002E-3</v>
      </c>
      <c r="J34" s="8">
        <v>265</v>
      </c>
      <c r="K34">
        <v>1</v>
      </c>
    </row>
    <row r="35" spans="1:11" x14ac:dyDescent="0.3">
      <c r="A35" s="8">
        <v>660</v>
      </c>
      <c r="B35" s="8">
        <v>5.2</v>
      </c>
      <c r="C35" s="8">
        <v>360</v>
      </c>
      <c r="D35" s="8">
        <v>0.8</v>
      </c>
      <c r="E35" s="8">
        <v>0.73</v>
      </c>
      <c r="F35" s="8">
        <v>70.8</v>
      </c>
      <c r="G35" s="8">
        <v>155.5</v>
      </c>
      <c r="H35" s="8">
        <v>38.020000000000003</v>
      </c>
      <c r="I35" s="8">
        <v>4.1399999999999996E-3</v>
      </c>
      <c r="J35" s="8">
        <v>295</v>
      </c>
      <c r="K35">
        <v>1</v>
      </c>
    </row>
    <row r="36" spans="1:11" x14ac:dyDescent="0.3">
      <c r="A36" s="8">
        <v>695</v>
      </c>
      <c r="B36" s="8">
        <v>4.0999999999999996</v>
      </c>
      <c r="C36" s="8">
        <v>340</v>
      </c>
      <c r="D36" s="8">
        <v>0.8</v>
      </c>
      <c r="E36" s="8">
        <v>0.83899999999999997</v>
      </c>
      <c r="F36" s="8">
        <v>71.8</v>
      </c>
      <c r="G36" s="8">
        <v>169.6</v>
      </c>
      <c r="H36" s="8">
        <v>29.5</v>
      </c>
      <c r="I36" s="8">
        <v>5.5999999999999999E-3</v>
      </c>
      <c r="J36" s="8">
        <v>190</v>
      </c>
      <c r="K36">
        <v>1</v>
      </c>
    </row>
    <row r="37" spans="1:11" x14ac:dyDescent="0.3">
      <c r="A37" s="8">
        <v>695</v>
      </c>
      <c r="B37" s="8">
        <v>7.4</v>
      </c>
      <c r="C37" s="8">
        <v>385</v>
      </c>
      <c r="D37" s="8">
        <v>0.8</v>
      </c>
      <c r="E37" s="8">
        <v>0.83899999999999997</v>
      </c>
      <c r="F37" s="8">
        <v>69.7</v>
      </c>
      <c r="G37" s="8">
        <v>208.8</v>
      </c>
      <c r="H37" s="8">
        <v>28</v>
      </c>
      <c r="I37" s="8">
        <v>4.7999999999999996E-3</v>
      </c>
      <c r="J37" s="8">
        <v>320</v>
      </c>
      <c r="K37">
        <v>1</v>
      </c>
    </row>
    <row r="38" spans="1:11" x14ac:dyDescent="0.3">
      <c r="A38" s="8">
        <v>700</v>
      </c>
      <c r="B38" s="8">
        <v>5</v>
      </c>
      <c r="C38" s="8">
        <v>245</v>
      </c>
      <c r="D38" s="8">
        <v>0.8</v>
      </c>
      <c r="E38" s="8">
        <v>0.73</v>
      </c>
      <c r="F38" s="8">
        <v>45.8</v>
      </c>
      <c r="G38" s="8">
        <v>128.69999999999999</v>
      </c>
      <c r="H38" s="8">
        <v>47.36</v>
      </c>
      <c r="I38" s="8">
        <v>2.5900000000000003E-3</v>
      </c>
      <c r="J38" s="8">
        <v>185</v>
      </c>
      <c r="K38">
        <v>1</v>
      </c>
    </row>
    <row r="39" spans="1:11" x14ac:dyDescent="0.3">
      <c r="A39" s="8">
        <v>740</v>
      </c>
      <c r="B39" s="8">
        <v>2.2000000000000002</v>
      </c>
      <c r="C39" s="8">
        <v>360</v>
      </c>
      <c r="D39" s="8">
        <v>1.6</v>
      </c>
      <c r="E39" s="8">
        <v>0.73</v>
      </c>
      <c r="F39" s="8">
        <v>70</v>
      </c>
      <c r="G39" s="8">
        <v>144.26</v>
      </c>
      <c r="H39" s="8">
        <v>24.611000000000001</v>
      </c>
      <c r="I39" s="8">
        <v>8.9175999999999995E-3</v>
      </c>
      <c r="J39" s="8">
        <v>300</v>
      </c>
      <c r="K39">
        <v>1</v>
      </c>
    </row>
    <row r="40" spans="1:11" x14ac:dyDescent="0.3">
      <c r="A40" s="8">
        <v>715</v>
      </c>
      <c r="B40" s="8">
        <v>5</v>
      </c>
      <c r="C40" s="8">
        <v>399</v>
      </c>
      <c r="D40" s="8">
        <v>2</v>
      </c>
      <c r="E40" s="8">
        <v>0.7</v>
      </c>
      <c r="F40" s="8">
        <v>70</v>
      </c>
      <c r="G40" s="8">
        <v>137.43</v>
      </c>
      <c r="H40" s="8">
        <v>28.684999999999999</v>
      </c>
      <c r="I40" s="8">
        <v>3.0201E-3</v>
      </c>
      <c r="J40" s="8">
        <v>334</v>
      </c>
      <c r="K40">
        <v>1</v>
      </c>
    </row>
    <row r="41" spans="1:11" x14ac:dyDescent="0.3">
      <c r="A41" s="8">
        <v>680</v>
      </c>
      <c r="B41" s="8">
        <v>5</v>
      </c>
      <c r="C41" s="8">
        <v>312</v>
      </c>
      <c r="D41" s="8">
        <v>1.4</v>
      </c>
      <c r="E41" s="8">
        <v>0.83899999999999997</v>
      </c>
      <c r="F41" s="8">
        <v>73.3</v>
      </c>
      <c r="G41" s="8">
        <v>197.8</v>
      </c>
      <c r="H41" s="8">
        <v>29.8</v>
      </c>
      <c r="I41" s="8">
        <v>5.0000000000000001E-3</v>
      </c>
      <c r="J41" s="8">
        <v>247</v>
      </c>
      <c r="K41">
        <v>1</v>
      </c>
    </row>
    <row r="42" spans="1:11" x14ac:dyDescent="0.3">
      <c r="A42" s="8">
        <v>690</v>
      </c>
      <c r="B42" s="8">
        <v>5</v>
      </c>
      <c r="C42" s="8">
        <v>280</v>
      </c>
      <c r="D42" s="8">
        <v>1.3</v>
      </c>
      <c r="E42" s="8">
        <v>0.73</v>
      </c>
      <c r="F42" s="8">
        <v>72.8</v>
      </c>
      <c r="G42" s="8">
        <v>201.4</v>
      </c>
      <c r="H42" s="8">
        <v>28.3</v>
      </c>
      <c r="I42" s="8">
        <v>5.0000000000000001E-3</v>
      </c>
      <c r="J42" s="8">
        <v>215</v>
      </c>
      <c r="K42">
        <v>1</v>
      </c>
    </row>
    <row r="43" spans="1:11" x14ac:dyDescent="0.3">
      <c r="A43" s="8">
        <v>675</v>
      </c>
      <c r="B43" s="8">
        <v>3.7</v>
      </c>
      <c r="C43" s="8">
        <v>375</v>
      </c>
      <c r="D43" s="8">
        <v>0.2</v>
      </c>
      <c r="E43" s="8">
        <v>0.83899999999999997</v>
      </c>
      <c r="F43" s="8">
        <v>65</v>
      </c>
      <c r="G43" s="8">
        <v>162.44999999999999</v>
      </c>
      <c r="H43" s="8">
        <v>32.231999999999999</v>
      </c>
      <c r="I43" s="8">
        <v>2.4127999999999997E-3</v>
      </c>
      <c r="J43" s="8">
        <v>310</v>
      </c>
      <c r="K43">
        <v>1</v>
      </c>
    </row>
    <row r="44" spans="1:11" x14ac:dyDescent="0.3">
      <c r="A44" s="8">
        <v>675</v>
      </c>
      <c r="B44" s="8">
        <v>5.2</v>
      </c>
      <c r="C44" s="8">
        <v>305</v>
      </c>
      <c r="D44" s="8">
        <v>2.75</v>
      </c>
      <c r="E44" s="8">
        <v>0.7</v>
      </c>
      <c r="F44" s="8">
        <v>70</v>
      </c>
      <c r="G44" s="8">
        <v>167.06</v>
      </c>
      <c r="H44" s="8">
        <v>26.001000000000001</v>
      </c>
      <c r="I44" s="8">
        <v>3.6186E-3</v>
      </c>
      <c r="J44" s="8">
        <v>240</v>
      </c>
      <c r="K44">
        <v>1</v>
      </c>
    </row>
    <row r="45" spans="1:11" x14ac:dyDescent="0.3">
      <c r="A45" s="8">
        <v>700</v>
      </c>
      <c r="B45" s="8">
        <v>6.8</v>
      </c>
      <c r="C45" s="8">
        <v>345</v>
      </c>
      <c r="D45" s="8">
        <v>2.5</v>
      </c>
      <c r="E45" s="8">
        <v>0.85</v>
      </c>
      <c r="F45" s="8">
        <v>50</v>
      </c>
      <c r="G45" s="8">
        <v>136.15</v>
      </c>
      <c r="H45" s="8">
        <v>29.821999999999999</v>
      </c>
      <c r="I45" s="8">
        <v>3.4196000000000001E-3</v>
      </c>
      <c r="J45" s="8">
        <v>280</v>
      </c>
      <c r="K45">
        <v>1</v>
      </c>
    </row>
    <row r="46" spans="1:11" x14ac:dyDescent="0.3">
      <c r="A46" s="8">
        <v>700</v>
      </c>
      <c r="B46" s="8">
        <v>4.5999999999999996</v>
      </c>
      <c r="C46" s="8">
        <v>350</v>
      </c>
      <c r="D46" s="8">
        <v>2</v>
      </c>
      <c r="E46" s="8">
        <v>0.83899999999999997</v>
      </c>
      <c r="F46" s="8">
        <v>71.8</v>
      </c>
      <c r="G46" s="8">
        <v>171.1</v>
      </c>
      <c r="H46" s="8">
        <v>37.6</v>
      </c>
      <c r="I46" s="8">
        <v>4.4000000000000003E-3</v>
      </c>
      <c r="J46" s="8">
        <v>200</v>
      </c>
      <c r="K46">
        <v>1</v>
      </c>
    </row>
    <row r="47" spans="1:11" x14ac:dyDescent="0.3">
      <c r="A47" s="8">
        <v>720</v>
      </c>
      <c r="B47" s="8">
        <v>7.8</v>
      </c>
      <c r="C47" s="8">
        <v>375</v>
      </c>
      <c r="D47" s="8">
        <v>1.5</v>
      </c>
      <c r="E47" s="8">
        <v>0.83899999999999997</v>
      </c>
      <c r="F47" s="8">
        <v>70</v>
      </c>
      <c r="G47" s="8">
        <v>132.86000000000001</v>
      </c>
      <c r="H47" s="8">
        <v>32.109000000000002</v>
      </c>
      <c r="I47" s="8">
        <v>3.8E-3</v>
      </c>
      <c r="J47" s="8">
        <v>310</v>
      </c>
      <c r="K47">
        <v>1</v>
      </c>
    </row>
    <row r="48" spans="1:11" x14ac:dyDescent="0.3">
      <c r="A48" s="8">
        <v>665</v>
      </c>
      <c r="B48" s="8">
        <v>5</v>
      </c>
      <c r="C48" s="8">
        <v>395</v>
      </c>
      <c r="D48" s="8">
        <v>0.7</v>
      </c>
      <c r="E48" s="8">
        <v>0.65600000000000003</v>
      </c>
      <c r="F48" s="8">
        <v>38.299999999999997</v>
      </c>
      <c r="G48" s="8">
        <v>158</v>
      </c>
      <c r="H48" s="8">
        <v>23</v>
      </c>
      <c r="I48" s="8">
        <v>6.2137163349725699E-3</v>
      </c>
      <c r="J48" s="8">
        <v>330</v>
      </c>
      <c r="K48">
        <v>1</v>
      </c>
    </row>
    <row r="49" spans="1:11" x14ac:dyDescent="0.3">
      <c r="A49" s="8">
        <v>690</v>
      </c>
      <c r="B49" s="8">
        <v>5.0999999999999996</v>
      </c>
      <c r="C49" s="8">
        <v>245</v>
      </c>
      <c r="D49" s="8">
        <v>0.8</v>
      </c>
      <c r="E49" s="8">
        <v>0.73</v>
      </c>
      <c r="F49" s="8">
        <v>69.8</v>
      </c>
      <c r="G49" s="8">
        <v>133.19999999999999</v>
      </c>
      <c r="H49" s="8">
        <v>41.59</v>
      </c>
      <c r="I49" s="8">
        <v>4.13E-3</v>
      </c>
      <c r="J49" s="8">
        <v>185</v>
      </c>
      <c r="K49">
        <v>1</v>
      </c>
    </row>
    <row r="50" spans="1:11" x14ac:dyDescent="0.3">
      <c r="A50" s="8">
        <v>700</v>
      </c>
      <c r="B50" s="8">
        <v>5.5</v>
      </c>
      <c r="C50" s="8">
        <v>380</v>
      </c>
      <c r="D50" s="8">
        <v>0.7</v>
      </c>
      <c r="E50" s="8">
        <v>0.65600000000000003</v>
      </c>
      <c r="F50" s="8">
        <v>39.26</v>
      </c>
      <c r="G50" s="8">
        <v>136</v>
      </c>
      <c r="H50" s="8">
        <v>28</v>
      </c>
      <c r="I50" s="8">
        <v>5.888896159131061E-3</v>
      </c>
      <c r="J50" s="8">
        <v>230</v>
      </c>
      <c r="K50">
        <v>1</v>
      </c>
    </row>
    <row r="51" spans="1:11" x14ac:dyDescent="0.3">
      <c r="A51" s="8">
        <v>700</v>
      </c>
      <c r="B51" s="8">
        <v>4.5</v>
      </c>
      <c r="C51" s="8">
        <v>330</v>
      </c>
      <c r="D51" s="8">
        <v>0.6</v>
      </c>
      <c r="E51" s="8">
        <v>0.69299999999999995</v>
      </c>
      <c r="F51" s="8">
        <v>69.8</v>
      </c>
      <c r="G51" s="8">
        <v>159</v>
      </c>
      <c r="H51" s="8">
        <v>43</v>
      </c>
      <c r="I51" s="8">
        <v>3.4846674631620863E-3</v>
      </c>
      <c r="J51" s="8">
        <v>180</v>
      </c>
      <c r="K51">
        <v>1</v>
      </c>
    </row>
    <row r="52" spans="1:11" x14ac:dyDescent="0.3">
      <c r="A52" s="8">
        <v>238</v>
      </c>
      <c r="B52" s="8">
        <v>2.1</v>
      </c>
      <c r="C52" s="8">
        <v>360</v>
      </c>
      <c r="D52" s="8">
        <v>1.4</v>
      </c>
      <c r="E52" s="8">
        <v>0.73</v>
      </c>
      <c r="F52" s="8">
        <v>50</v>
      </c>
      <c r="G52" s="8">
        <v>96.650999999999996</v>
      </c>
      <c r="H52" s="8">
        <v>65.162999999999997</v>
      </c>
      <c r="I52" s="8">
        <v>2.8573000000000001E-3</v>
      </c>
      <c r="J52" s="8">
        <v>250</v>
      </c>
      <c r="K52">
        <v>0</v>
      </c>
    </row>
    <row r="53" spans="1:11" x14ac:dyDescent="0.3">
      <c r="A53" s="8">
        <v>697</v>
      </c>
      <c r="B53" s="8">
        <v>4.5</v>
      </c>
      <c r="C53" s="8">
        <v>375</v>
      </c>
      <c r="D53" s="8">
        <v>2.5</v>
      </c>
      <c r="E53" s="8">
        <v>0.73</v>
      </c>
      <c r="F53" s="8">
        <v>65</v>
      </c>
      <c r="G53" s="8">
        <v>148.22</v>
      </c>
      <c r="H53" s="8">
        <v>37.909999999999997</v>
      </c>
      <c r="I53" s="8">
        <v>3.6501000000000003E-3</v>
      </c>
      <c r="J53" s="8">
        <v>310</v>
      </c>
      <c r="K53">
        <v>1</v>
      </c>
    </row>
    <row r="54" spans="1:11" x14ac:dyDescent="0.3">
      <c r="A54" s="8">
        <v>721</v>
      </c>
      <c r="B54" s="8">
        <v>7.8</v>
      </c>
      <c r="C54" s="8">
        <v>380</v>
      </c>
      <c r="D54" s="8">
        <v>2</v>
      </c>
      <c r="E54" s="8">
        <v>0.83899999999999997</v>
      </c>
      <c r="F54" s="8">
        <v>62.6</v>
      </c>
      <c r="G54" s="8">
        <v>121.2</v>
      </c>
      <c r="H54" s="8">
        <v>41.7</v>
      </c>
      <c r="I54" s="8">
        <v>3.5000000000000001E-3</v>
      </c>
      <c r="J54" s="8">
        <v>315</v>
      </c>
      <c r="K54">
        <v>1</v>
      </c>
    </row>
    <row r="55" spans="1:11" x14ac:dyDescent="0.3">
      <c r="A55" s="8">
        <v>260</v>
      </c>
      <c r="B55" s="8">
        <v>1.6</v>
      </c>
      <c r="C55" s="8">
        <v>370</v>
      </c>
      <c r="D55" s="8">
        <v>1.7</v>
      </c>
      <c r="E55" s="8">
        <v>0.73</v>
      </c>
      <c r="F55" s="8">
        <v>50</v>
      </c>
      <c r="G55" s="8">
        <v>124.98</v>
      </c>
      <c r="H55" s="8">
        <v>39.345999999999997</v>
      </c>
      <c r="I55" s="8">
        <v>3.1849000000000001E-3</v>
      </c>
      <c r="J55" s="8">
        <v>270</v>
      </c>
      <c r="K55">
        <v>0</v>
      </c>
    </row>
    <row r="56" spans="1:11" x14ac:dyDescent="0.3">
      <c r="A56" s="8">
        <v>698</v>
      </c>
      <c r="B56" s="8">
        <v>3</v>
      </c>
      <c r="C56" s="8">
        <v>440</v>
      </c>
      <c r="D56" s="8">
        <v>0.6</v>
      </c>
      <c r="E56" s="8">
        <v>0.28999999999999998</v>
      </c>
      <c r="F56" s="8">
        <v>89.82</v>
      </c>
      <c r="G56" s="8">
        <v>168</v>
      </c>
      <c r="H56" s="8">
        <v>57</v>
      </c>
      <c r="I56" s="8">
        <v>2.6106934001670842E-3</v>
      </c>
      <c r="J56" s="8">
        <v>345</v>
      </c>
      <c r="K56">
        <v>1</v>
      </c>
    </row>
    <row r="57" spans="1:11" x14ac:dyDescent="0.3">
      <c r="A57" s="8">
        <v>737</v>
      </c>
      <c r="B57" s="8">
        <v>4</v>
      </c>
      <c r="C57" s="8">
        <v>440</v>
      </c>
      <c r="D57" s="8">
        <v>1.1000000000000001</v>
      </c>
      <c r="E57" s="8">
        <v>0.84</v>
      </c>
      <c r="F57" s="8">
        <v>89.82</v>
      </c>
      <c r="G57" s="8">
        <v>171</v>
      </c>
      <c r="H57" s="8">
        <v>41</v>
      </c>
      <c r="I57" s="8">
        <v>4.1409582177315838E-3</v>
      </c>
      <c r="J57" s="8">
        <v>345</v>
      </c>
      <c r="K57">
        <v>1</v>
      </c>
    </row>
    <row r="58" spans="1:11" x14ac:dyDescent="0.3">
      <c r="A58" s="8">
        <v>700</v>
      </c>
      <c r="B58" s="8">
        <v>3</v>
      </c>
      <c r="C58" s="8">
        <v>440</v>
      </c>
      <c r="D58" s="8">
        <v>0.6</v>
      </c>
      <c r="E58" s="8">
        <v>0.28999999999999998</v>
      </c>
      <c r="F58" s="8">
        <v>90.2</v>
      </c>
      <c r="G58" s="8">
        <v>164</v>
      </c>
      <c r="H58" s="8">
        <v>59</v>
      </c>
      <c r="I58" s="8">
        <v>2.58371227780074E-3</v>
      </c>
      <c r="J58" s="8">
        <v>345</v>
      </c>
      <c r="K58">
        <v>1</v>
      </c>
    </row>
    <row r="59" spans="1:11" x14ac:dyDescent="0.3">
      <c r="A59" s="8">
        <v>729</v>
      </c>
      <c r="B59" s="8">
        <v>4</v>
      </c>
      <c r="C59" s="8">
        <v>440</v>
      </c>
      <c r="D59" s="8">
        <v>1.2</v>
      </c>
      <c r="E59" s="8">
        <v>0.82199999999999995</v>
      </c>
      <c r="F59" s="8">
        <v>89.8</v>
      </c>
      <c r="G59" s="8">
        <v>205</v>
      </c>
      <c r="H59" s="8">
        <v>53</v>
      </c>
      <c r="I59" s="8">
        <v>2.6720900197437763E-3</v>
      </c>
      <c r="J59" s="8">
        <v>345</v>
      </c>
      <c r="K59">
        <v>1</v>
      </c>
    </row>
    <row r="60" spans="1:11" x14ac:dyDescent="0.3">
      <c r="A60" s="8">
        <v>708</v>
      </c>
      <c r="B60" s="8">
        <v>3.5</v>
      </c>
      <c r="C60" s="8">
        <v>461</v>
      </c>
      <c r="D60" s="8">
        <v>0.34</v>
      </c>
      <c r="E60" s="8">
        <v>0.82199999999999995</v>
      </c>
      <c r="F60" s="8">
        <v>90</v>
      </c>
      <c r="G60" s="8">
        <v>136.44999999999999</v>
      </c>
      <c r="H60" s="8">
        <v>52.712000000000003</v>
      </c>
      <c r="I60" s="8">
        <v>3.7810000000000001E-3</v>
      </c>
      <c r="J60" s="8">
        <v>366</v>
      </c>
      <c r="K60">
        <v>1</v>
      </c>
    </row>
    <row r="61" spans="1:11" x14ac:dyDescent="0.3">
      <c r="A61" s="8">
        <v>701</v>
      </c>
      <c r="B61" s="8">
        <v>3.5</v>
      </c>
      <c r="C61" s="8">
        <v>425</v>
      </c>
      <c r="D61" s="8">
        <v>0.34</v>
      </c>
      <c r="E61" s="8">
        <v>0.82199999999999995</v>
      </c>
      <c r="F61" s="8">
        <v>90</v>
      </c>
      <c r="G61" s="8">
        <v>154.80000000000001</v>
      </c>
      <c r="H61" s="8">
        <v>50.037999999999997</v>
      </c>
      <c r="I61" s="8">
        <v>3.3708999999999996E-3</v>
      </c>
      <c r="J61" s="8">
        <v>330</v>
      </c>
      <c r="K61">
        <v>0</v>
      </c>
    </row>
    <row r="62" spans="1:11" x14ac:dyDescent="0.3">
      <c r="A62" s="8">
        <v>750</v>
      </c>
      <c r="B62" s="8">
        <v>4</v>
      </c>
      <c r="C62" s="8">
        <v>450</v>
      </c>
      <c r="D62" s="8">
        <v>1.2</v>
      </c>
      <c r="E62" s="8">
        <v>0.82199999999999995</v>
      </c>
      <c r="F62" s="8">
        <v>89.8</v>
      </c>
      <c r="G62" s="8">
        <v>157</v>
      </c>
      <c r="H62" s="8">
        <v>37</v>
      </c>
      <c r="I62" s="8">
        <v>4.4424946828891757E-3</v>
      </c>
      <c r="J62" s="8">
        <v>400</v>
      </c>
      <c r="K62">
        <v>1</v>
      </c>
    </row>
    <row r="63" spans="1:11" x14ac:dyDescent="0.3">
      <c r="A63" s="8">
        <v>715</v>
      </c>
      <c r="B63" s="8">
        <v>10.3</v>
      </c>
      <c r="C63" s="8">
        <v>461</v>
      </c>
      <c r="D63" s="8">
        <v>0.34</v>
      </c>
      <c r="E63" s="8">
        <v>0.82199999999999995</v>
      </c>
      <c r="F63" s="8">
        <v>50</v>
      </c>
      <c r="G63" s="8">
        <v>113.7</v>
      </c>
      <c r="H63" s="8">
        <v>43.2</v>
      </c>
      <c r="I63" s="8">
        <v>2.9500000000000004E-3</v>
      </c>
      <c r="J63" s="8">
        <v>231</v>
      </c>
      <c r="K63">
        <v>1</v>
      </c>
    </row>
    <row r="64" spans="1:11" x14ac:dyDescent="0.3">
      <c r="A64" s="8">
        <v>740</v>
      </c>
      <c r="B64" s="8">
        <v>17</v>
      </c>
      <c r="C64" s="8">
        <v>461</v>
      </c>
      <c r="D64" s="8">
        <v>0.34</v>
      </c>
      <c r="E64" s="8">
        <v>0.26</v>
      </c>
      <c r="F64" s="8">
        <v>91</v>
      </c>
      <c r="G64" s="8">
        <v>141.88999999999999</v>
      </c>
      <c r="H64" s="8">
        <v>58.3</v>
      </c>
      <c r="I64" s="8">
        <v>2.8E-3</v>
      </c>
      <c r="J64" s="8">
        <v>366</v>
      </c>
      <c r="K64">
        <v>1</v>
      </c>
    </row>
    <row r="65" spans="1:11" x14ac:dyDescent="0.3">
      <c r="A65" s="8">
        <v>700</v>
      </c>
      <c r="B65" s="8">
        <v>17</v>
      </c>
      <c r="C65" s="8">
        <v>461</v>
      </c>
      <c r="D65" s="8">
        <v>0.34</v>
      </c>
      <c r="E65" s="8">
        <v>0.26</v>
      </c>
      <c r="F65" s="8">
        <v>90</v>
      </c>
      <c r="G65" s="8">
        <v>140</v>
      </c>
      <c r="H65" s="8">
        <v>68.900000000000006</v>
      </c>
      <c r="I65" s="8">
        <v>2.8999999999999998E-3</v>
      </c>
      <c r="J65" s="8">
        <v>366</v>
      </c>
      <c r="K65">
        <v>1</v>
      </c>
    </row>
    <row r="66" spans="1:11" x14ac:dyDescent="0.3">
      <c r="A66" s="8">
        <v>695</v>
      </c>
      <c r="B66" s="8">
        <v>4</v>
      </c>
      <c r="C66" s="8">
        <v>440</v>
      </c>
      <c r="D66" s="8">
        <v>1.1100000000000001</v>
      </c>
      <c r="E66" s="8">
        <v>0.82199999999999995</v>
      </c>
      <c r="F66" s="8">
        <v>49.3</v>
      </c>
      <c r="G66" s="8">
        <v>157</v>
      </c>
      <c r="H66" s="8">
        <v>37</v>
      </c>
      <c r="I66" s="8">
        <v>4.4424946828891757E-3</v>
      </c>
      <c r="J66" s="8">
        <v>390</v>
      </c>
      <c r="K66">
        <v>0</v>
      </c>
    </row>
    <row r="67" spans="1:11" x14ac:dyDescent="0.3">
      <c r="A67" s="8">
        <v>735</v>
      </c>
      <c r="B67" s="8">
        <v>3.8</v>
      </c>
      <c r="C67" s="8">
        <v>420</v>
      </c>
      <c r="D67" s="8">
        <v>1</v>
      </c>
      <c r="E67" s="8">
        <v>0.82199999999999995</v>
      </c>
      <c r="F67" s="8">
        <v>90.3</v>
      </c>
      <c r="G67" s="8">
        <v>148</v>
      </c>
      <c r="H67" s="8">
        <v>52</v>
      </c>
      <c r="I67" s="8">
        <v>3.7723828046408695E-3</v>
      </c>
      <c r="J67" s="8">
        <v>325</v>
      </c>
      <c r="K67">
        <v>0</v>
      </c>
    </row>
    <row r="68" spans="1:11" x14ac:dyDescent="0.3">
      <c r="A68" s="8">
        <v>680</v>
      </c>
      <c r="B68" s="8">
        <v>3.5</v>
      </c>
      <c r="C68" s="8">
        <v>461</v>
      </c>
      <c r="D68" s="8">
        <v>0.34</v>
      </c>
      <c r="E68" s="8">
        <v>0.82199999999999995</v>
      </c>
      <c r="F68" s="8">
        <v>90</v>
      </c>
      <c r="G68" s="8">
        <v>69.875</v>
      </c>
      <c r="H68" s="8">
        <v>32.125999999999998</v>
      </c>
      <c r="I68" s="8">
        <v>2.5156000000000002E-3</v>
      </c>
      <c r="J68" s="8">
        <v>366</v>
      </c>
      <c r="K68">
        <v>0</v>
      </c>
    </row>
    <row r="69" spans="1:11" x14ac:dyDescent="0.3">
      <c r="A69" s="8">
        <v>714</v>
      </c>
      <c r="B69" s="8">
        <v>3.5</v>
      </c>
      <c r="C69" s="8">
        <v>461</v>
      </c>
      <c r="D69" s="8">
        <v>0.34</v>
      </c>
      <c r="E69" s="8">
        <v>0.82199999999999995</v>
      </c>
      <c r="F69" s="8">
        <v>90</v>
      </c>
      <c r="G69" s="8">
        <v>171.66</v>
      </c>
      <c r="H69" s="8">
        <v>43.283999999999999</v>
      </c>
      <c r="I69" s="8">
        <v>3.6604999999999997E-3</v>
      </c>
      <c r="J69" s="8">
        <v>366</v>
      </c>
      <c r="K69">
        <v>0</v>
      </c>
    </row>
    <row r="70" spans="1:11" x14ac:dyDescent="0.3">
      <c r="A70" s="8">
        <v>697</v>
      </c>
      <c r="B70" s="8">
        <v>3</v>
      </c>
      <c r="C70" s="8">
        <v>400</v>
      </c>
      <c r="D70" s="8">
        <v>0.6</v>
      </c>
      <c r="E70" s="8">
        <v>0.81399999999999995</v>
      </c>
      <c r="F70" s="8">
        <v>63.8</v>
      </c>
      <c r="G70" s="8">
        <v>142</v>
      </c>
      <c r="H70" s="8">
        <v>40</v>
      </c>
      <c r="I70" s="8">
        <v>3.5779191276692412E-3</v>
      </c>
      <c r="J70" s="8">
        <v>305</v>
      </c>
      <c r="K70">
        <v>0</v>
      </c>
    </row>
    <row r="71" spans="1:11" x14ac:dyDescent="0.3">
      <c r="A71" s="8">
        <v>700</v>
      </c>
      <c r="B71" s="8">
        <v>17</v>
      </c>
      <c r="C71" s="8">
        <v>461</v>
      </c>
      <c r="D71" s="8">
        <v>0.34</v>
      </c>
      <c r="E71" s="8">
        <v>0.26</v>
      </c>
      <c r="F71" s="8">
        <v>92</v>
      </c>
      <c r="G71" s="8">
        <v>139.19999999999999</v>
      </c>
      <c r="H71" s="8">
        <v>69</v>
      </c>
      <c r="I71" s="8">
        <v>3.0000000000000001E-3</v>
      </c>
      <c r="J71" s="8">
        <v>366</v>
      </c>
      <c r="K71">
        <v>1</v>
      </c>
    </row>
    <row r="72" spans="1:11" x14ac:dyDescent="0.3">
      <c r="A72" s="8">
        <v>746</v>
      </c>
      <c r="B72" s="8">
        <v>3.4</v>
      </c>
      <c r="C72" s="8">
        <v>316</v>
      </c>
      <c r="D72" s="8">
        <v>0.34</v>
      </c>
      <c r="E72" s="8">
        <v>0.82199999999999995</v>
      </c>
      <c r="F72" s="8">
        <v>26</v>
      </c>
      <c r="G72" s="8">
        <v>70.658000000000001</v>
      </c>
      <c r="H72" s="8">
        <v>49.715000000000003</v>
      </c>
      <c r="I72" s="8">
        <v>2.0236999999999998E-3</v>
      </c>
      <c r="J72" s="8">
        <v>221</v>
      </c>
      <c r="K72">
        <v>0</v>
      </c>
    </row>
    <row r="73" spans="1:11" x14ac:dyDescent="0.3">
      <c r="A73" s="8">
        <v>715</v>
      </c>
      <c r="B73" s="8">
        <v>3.5</v>
      </c>
      <c r="C73" s="8">
        <v>430</v>
      </c>
      <c r="D73" s="8">
        <v>0.34</v>
      </c>
      <c r="E73" s="8">
        <v>0.82199999999999995</v>
      </c>
      <c r="F73" s="8">
        <v>80</v>
      </c>
      <c r="G73" s="8">
        <v>138.13</v>
      </c>
      <c r="H73" s="8">
        <v>67.876000000000005</v>
      </c>
      <c r="I73" s="8">
        <v>2.8896999999999998E-3</v>
      </c>
      <c r="J73" s="8">
        <v>335</v>
      </c>
      <c r="K73">
        <v>0</v>
      </c>
    </row>
    <row r="74" spans="1:11" x14ac:dyDescent="0.3">
      <c r="A74" s="8">
        <v>330</v>
      </c>
      <c r="B74" s="8">
        <v>4</v>
      </c>
      <c r="C74" s="8">
        <v>153</v>
      </c>
      <c r="D74" s="8">
        <v>3.2</v>
      </c>
      <c r="E74" s="8">
        <v>2.94</v>
      </c>
      <c r="F74" s="8">
        <v>7</v>
      </c>
      <c r="G74" s="8">
        <v>113</v>
      </c>
      <c r="H74" s="8">
        <v>12</v>
      </c>
      <c r="I74" s="8">
        <v>2E-3</v>
      </c>
      <c r="J74" s="8">
        <v>50</v>
      </c>
      <c r="K74">
        <v>0</v>
      </c>
    </row>
    <row r="75" spans="1:11" x14ac:dyDescent="0.3">
      <c r="A75" s="8">
        <v>230</v>
      </c>
      <c r="B75" s="8">
        <v>6</v>
      </c>
      <c r="C75" s="8">
        <v>157</v>
      </c>
      <c r="D75" s="8">
        <v>4</v>
      </c>
      <c r="E75" s="8">
        <v>2.94</v>
      </c>
      <c r="F75" s="8">
        <v>10</v>
      </c>
      <c r="G75" s="8">
        <v>71</v>
      </c>
      <c r="H75" s="8">
        <v>12</v>
      </c>
      <c r="I75" s="8">
        <v>3.5000000000000001E-3</v>
      </c>
      <c r="J75" s="8">
        <v>100</v>
      </c>
      <c r="K75">
        <v>0</v>
      </c>
    </row>
    <row r="76" spans="1:11" x14ac:dyDescent="0.3">
      <c r="A76" s="8">
        <v>523</v>
      </c>
      <c r="B76" s="8">
        <v>7</v>
      </c>
      <c r="C76" s="8">
        <v>160</v>
      </c>
      <c r="D76" s="8">
        <v>1.1000000000000001</v>
      </c>
      <c r="E76" s="8">
        <v>2.94</v>
      </c>
      <c r="F76" s="8">
        <v>10</v>
      </c>
      <c r="G76" s="8">
        <v>70</v>
      </c>
      <c r="H76" s="8">
        <v>15</v>
      </c>
      <c r="I76" s="8">
        <v>2.7000000000000001E-3</v>
      </c>
      <c r="J76" s="8">
        <v>55</v>
      </c>
      <c r="K76">
        <v>0</v>
      </c>
    </row>
    <row r="77" spans="1:11" x14ac:dyDescent="0.3">
      <c r="A77" s="8">
        <v>310</v>
      </c>
      <c r="B77" s="8">
        <v>3</v>
      </c>
      <c r="C77" s="8">
        <v>157</v>
      </c>
      <c r="D77" s="8">
        <v>4.5</v>
      </c>
      <c r="E77" s="8">
        <v>2.94</v>
      </c>
      <c r="F77" s="8">
        <v>21</v>
      </c>
      <c r="G77" s="8">
        <v>106</v>
      </c>
      <c r="H77" s="8">
        <v>21</v>
      </c>
      <c r="I77" s="8">
        <v>3.0000000000000001E-3</v>
      </c>
      <c r="J77" s="8">
        <v>83</v>
      </c>
      <c r="K77">
        <v>0</v>
      </c>
    </row>
    <row r="78" spans="1:11" x14ac:dyDescent="0.3">
      <c r="A78" s="8">
        <v>350</v>
      </c>
      <c r="B78" s="8">
        <v>4</v>
      </c>
      <c r="C78" s="8">
        <v>151</v>
      </c>
      <c r="D78" s="8">
        <v>3</v>
      </c>
      <c r="E78" s="8">
        <v>2.94</v>
      </c>
      <c r="F78" s="8">
        <v>5</v>
      </c>
      <c r="G78" s="8">
        <v>56</v>
      </c>
      <c r="H78" s="8">
        <v>12</v>
      </c>
      <c r="I78" s="8">
        <v>1.9E-3</v>
      </c>
      <c r="J78" s="8">
        <v>71</v>
      </c>
      <c r="K78">
        <v>0</v>
      </c>
    </row>
    <row r="79" spans="1:11" x14ac:dyDescent="0.3">
      <c r="A79" s="8">
        <v>180</v>
      </c>
      <c r="B79" s="8">
        <v>6</v>
      </c>
      <c r="C79" s="8">
        <v>157</v>
      </c>
      <c r="D79" s="8">
        <v>2.1</v>
      </c>
      <c r="E79" s="8">
        <v>2.94</v>
      </c>
      <c r="F79" s="8">
        <v>5</v>
      </c>
      <c r="G79" s="8">
        <v>54</v>
      </c>
      <c r="H79" s="8">
        <v>10</v>
      </c>
      <c r="I79" s="8">
        <v>2.2000000000000001E-3</v>
      </c>
      <c r="J79" s="8">
        <v>54</v>
      </c>
      <c r="K79">
        <v>0</v>
      </c>
    </row>
    <row r="80" spans="1:11" x14ac:dyDescent="0.3">
      <c r="A80" s="8">
        <v>326</v>
      </c>
      <c r="B80" s="8">
        <v>5</v>
      </c>
      <c r="C80" s="8">
        <v>163</v>
      </c>
      <c r="D80" s="8">
        <v>3.5</v>
      </c>
      <c r="E80" s="8">
        <v>2.94</v>
      </c>
      <c r="F80" s="8">
        <v>5</v>
      </c>
      <c r="G80" s="8">
        <v>54</v>
      </c>
      <c r="H80" s="8">
        <v>13</v>
      </c>
      <c r="I80" s="8">
        <v>1.5E-3</v>
      </c>
      <c r="J80" s="8">
        <v>62</v>
      </c>
      <c r="K80">
        <v>0</v>
      </c>
    </row>
    <row r="81" spans="1:11" x14ac:dyDescent="0.3">
      <c r="A81" s="8">
        <v>190</v>
      </c>
      <c r="B81" s="8">
        <v>5</v>
      </c>
      <c r="C81" s="8">
        <v>123</v>
      </c>
      <c r="D81" s="8">
        <v>5</v>
      </c>
      <c r="E81" s="8">
        <v>2.94</v>
      </c>
      <c r="F81" s="8">
        <v>10</v>
      </c>
      <c r="G81" s="8">
        <v>73</v>
      </c>
      <c r="H81" s="8">
        <v>11</v>
      </c>
      <c r="I81" s="8">
        <v>3.5000000000000001E-3</v>
      </c>
      <c r="J81" s="8">
        <v>51</v>
      </c>
      <c r="K81">
        <v>0</v>
      </c>
    </row>
    <row r="82" spans="1:11" x14ac:dyDescent="0.3">
      <c r="A82" s="8">
        <v>310</v>
      </c>
      <c r="B82" s="8">
        <v>16</v>
      </c>
      <c r="C82" s="8">
        <v>160</v>
      </c>
      <c r="D82" s="8">
        <v>6.1</v>
      </c>
      <c r="E82" s="8">
        <v>2.94</v>
      </c>
      <c r="F82" s="8">
        <v>5</v>
      </c>
      <c r="G82" s="8">
        <v>64</v>
      </c>
      <c r="H82" s="8">
        <v>11</v>
      </c>
      <c r="I82" s="8">
        <v>2.5000000000000001E-3</v>
      </c>
      <c r="J82" s="8">
        <v>31</v>
      </c>
      <c r="K82">
        <v>0</v>
      </c>
    </row>
    <row r="83" spans="1:11" x14ac:dyDescent="0.3">
      <c r="A83" s="8">
        <v>230</v>
      </c>
      <c r="B83" s="8">
        <v>4</v>
      </c>
      <c r="C83" s="8">
        <v>150</v>
      </c>
      <c r="D83" s="8">
        <v>10</v>
      </c>
      <c r="E83" s="8">
        <v>2.94</v>
      </c>
      <c r="F83" s="8">
        <v>5</v>
      </c>
      <c r="G83" s="8">
        <v>67</v>
      </c>
      <c r="H83" s="8">
        <v>16</v>
      </c>
      <c r="I83" s="8">
        <v>1.4E-3</v>
      </c>
      <c r="J83" s="8">
        <v>89</v>
      </c>
      <c r="K83">
        <v>1</v>
      </c>
    </row>
    <row r="84" spans="1:11" x14ac:dyDescent="0.3">
      <c r="A84" s="8">
        <v>289</v>
      </c>
      <c r="B84" s="8">
        <v>6</v>
      </c>
      <c r="C84" s="8">
        <v>148</v>
      </c>
      <c r="D84" s="8">
        <v>5</v>
      </c>
      <c r="E84" s="8">
        <v>2.94</v>
      </c>
      <c r="F84" s="8">
        <v>10</v>
      </c>
      <c r="G84" s="8">
        <v>71</v>
      </c>
      <c r="H84" s="8">
        <v>19</v>
      </c>
      <c r="I84" s="8">
        <v>2E-3</v>
      </c>
      <c r="J84" s="8">
        <v>80</v>
      </c>
      <c r="K84">
        <v>1</v>
      </c>
    </row>
    <row r="85" spans="1:11" x14ac:dyDescent="0.3">
      <c r="A85" s="8">
        <v>346</v>
      </c>
      <c r="B85" s="8">
        <v>7</v>
      </c>
      <c r="C85" s="8">
        <v>165</v>
      </c>
      <c r="D85" s="8">
        <v>5</v>
      </c>
      <c r="E85" s="8">
        <v>2.94</v>
      </c>
      <c r="F85" s="8">
        <v>5</v>
      </c>
      <c r="G85" s="8">
        <v>37</v>
      </c>
      <c r="H85" s="8">
        <v>19</v>
      </c>
      <c r="I85" s="8">
        <v>2E-3</v>
      </c>
      <c r="J85" s="8">
        <v>110</v>
      </c>
      <c r="K85">
        <v>0</v>
      </c>
    </row>
    <row r="86" spans="1:11" x14ac:dyDescent="0.3">
      <c r="A86" s="8">
        <v>420</v>
      </c>
      <c r="B86" s="8">
        <v>12</v>
      </c>
      <c r="C86" s="8">
        <v>167</v>
      </c>
      <c r="D86" s="8">
        <v>1.3</v>
      </c>
      <c r="E86" s="8">
        <v>2.94</v>
      </c>
      <c r="F86" s="8">
        <v>5</v>
      </c>
      <c r="G86" s="8">
        <v>45</v>
      </c>
      <c r="H86" s="8">
        <v>17</v>
      </c>
      <c r="I86" s="8">
        <v>1.6999999999999999E-3</v>
      </c>
      <c r="J86" s="8">
        <v>54</v>
      </c>
      <c r="K86">
        <v>1</v>
      </c>
    </row>
    <row r="87" spans="1:11" x14ac:dyDescent="0.3">
      <c r="A87" s="8">
        <v>309</v>
      </c>
      <c r="B87" s="8">
        <v>10</v>
      </c>
      <c r="C87" s="8">
        <v>126</v>
      </c>
      <c r="D87" s="8">
        <v>4</v>
      </c>
      <c r="E87" s="8">
        <v>2.94</v>
      </c>
      <c r="F87" s="8">
        <v>10</v>
      </c>
      <c r="G87" s="8">
        <v>92</v>
      </c>
      <c r="H87" s="8">
        <v>14</v>
      </c>
      <c r="I87" s="8">
        <v>1.6999999999999999E-3</v>
      </c>
      <c r="J87" s="8">
        <v>42</v>
      </c>
      <c r="K87">
        <v>0</v>
      </c>
    </row>
    <row r="88" spans="1:11" x14ac:dyDescent="0.3">
      <c r="A88" s="8">
        <v>330</v>
      </c>
      <c r="B88" s="8">
        <v>4</v>
      </c>
      <c r="C88" s="8">
        <v>155</v>
      </c>
      <c r="D88" s="8">
        <v>3.5</v>
      </c>
      <c r="E88" s="8">
        <v>2.94</v>
      </c>
      <c r="F88" s="8">
        <v>15</v>
      </c>
      <c r="G88" s="8">
        <v>96</v>
      </c>
      <c r="H88" s="8">
        <v>11</v>
      </c>
      <c r="I88" s="8">
        <v>5.0999999999999995E-3</v>
      </c>
      <c r="J88" s="8">
        <v>74</v>
      </c>
      <c r="K88">
        <v>0</v>
      </c>
    </row>
    <row r="89" spans="1:11" x14ac:dyDescent="0.3">
      <c r="A89" s="8">
        <v>250</v>
      </c>
      <c r="B89" s="8">
        <v>6</v>
      </c>
      <c r="C89" s="8">
        <v>155</v>
      </c>
      <c r="D89" s="8">
        <v>2.2999999999999998</v>
      </c>
      <c r="E89" s="8">
        <v>2.94</v>
      </c>
      <c r="F89" s="8">
        <v>5</v>
      </c>
      <c r="G89" s="8">
        <v>37</v>
      </c>
      <c r="H89" s="8">
        <v>16</v>
      </c>
      <c r="I89" s="8">
        <v>2.2000000000000001E-3</v>
      </c>
      <c r="J89" s="8">
        <v>99</v>
      </c>
      <c r="K89">
        <v>0</v>
      </c>
    </row>
    <row r="90" spans="1:11" x14ac:dyDescent="0.3">
      <c r="A90" s="8">
        <v>360</v>
      </c>
      <c r="B90" s="8">
        <v>10</v>
      </c>
      <c r="C90" s="8">
        <v>160</v>
      </c>
      <c r="D90" s="8">
        <v>4</v>
      </c>
      <c r="E90" s="8">
        <v>2.94</v>
      </c>
      <c r="F90" s="8">
        <v>10</v>
      </c>
      <c r="G90" s="8">
        <v>77</v>
      </c>
      <c r="H90" s="8">
        <v>17</v>
      </c>
      <c r="I90" s="8">
        <v>2.2000000000000001E-3</v>
      </c>
      <c r="J90" s="8">
        <v>63</v>
      </c>
      <c r="K90">
        <v>1</v>
      </c>
    </row>
    <row r="91" spans="1:11" x14ac:dyDescent="0.3">
      <c r="A91" s="8">
        <v>300</v>
      </c>
      <c r="B91" s="8">
        <v>3</v>
      </c>
      <c r="C91" s="8">
        <v>160</v>
      </c>
      <c r="D91" s="8">
        <v>4</v>
      </c>
      <c r="E91" s="8">
        <v>2.94</v>
      </c>
      <c r="F91" s="8">
        <v>5</v>
      </c>
      <c r="G91" s="8">
        <v>45</v>
      </c>
      <c r="H91" s="8">
        <v>14</v>
      </c>
      <c r="I91" s="8">
        <v>2.1000000000000003E-3</v>
      </c>
      <c r="J91" s="8">
        <v>96</v>
      </c>
      <c r="K91">
        <v>0</v>
      </c>
    </row>
    <row r="92" spans="1:11" x14ac:dyDescent="0.3">
      <c r="A92" s="8">
        <v>270</v>
      </c>
      <c r="B92" s="8">
        <v>6</v>
      </c>
      <c r="C92" s="8">
        <v>148</v>
      </c>
      <c r="D92" s="8">
        <v>2.4</v>
      </c>
      <c r="E92" s="8">
        <v>2.94</v>
      </c>
      <c r="F92" s="8">
        <v>7</v>
      </c>
      <c r="G92" s="8">
        <v>40</v>
      </c>
      <c r="H92" s="8">
        <v>17</v>
      </c>
      <c r="I92" s="8">
        <v>2.5000000000000001E-3</v>
      </c>
      <c r="J92" s="8">
        <v>54</v>
      </c>
      <c r="K92">
        <v>0</v>
      </c>
    </row>
    <row r="93" spans="1:11" x14ac:dyDescent="0.3">
      <c r="A93" s="8">
        <v>200</v>
      </c>
      <c r="B93" s="8">
        <v>3</v>
      </c>
      <c r="C93" s="8">
        <v>156</v>
      </c>
      <c r="D93" s="8">
        <v>4</v>
      </c>
      <c r="E93" s="8">
        <v>2.94</v>
      </c>
      <c r="F93" s="8">
        <v>7</v>
      </c>
      <c r="G93" s="8">
        <v>53</v>
      </c>
      <c r="H93" s="8">
        <v>19</v>
      </c>
      <c r="I93" s="8">
        <v>1.8E-3</v>
      </c>
      <c r="J93" s="8">
        <v>75</v>
      </c>
      <c r="K93">
        <v>0</v>
      </c>
    </row>
    <row r="94" spans="1:11" x14ac:dyDescent="0.3">
      <c r="A94" s="8">
        <v>296</v>
      </c>
      <c r="B94" s="8">
        <v>8</v>
      </c>
      <c r="C94" s="8">
        <v>135</v>
      </c>
      <c r="D94" s="8">
        <v>4.7</v>
      </c>
      <c r="E94" s="8">
        <v>2.94</v>
      </c>
      <c r="F94" s="8">
        <v>3</v>
      </c>
      <c r="G94" s="8">
        <v>46</v>
      </c>
      <c r="H94" s="8">
        <v>16</v>
      </c>
      <c r="I94" s="8">
        <v>1E-3</v>
      </c>
      <c r="J94" s="8">
        <v>84</v>
      </c>
      <c r="K94">
        <v>0</v>
      </c>
    </row>
    <row r="95" spans="1:11" x14ac:dyDescent="0.3">
      <c r="A95" s="8">
        <v>270</v>
      </c>
      <c r="B95" s="8">
        <v>4</v>
      </c>
      <c r="C95" s="8">
        <v>155</v>
      </c>
      <c r="D95" s="8">
        <v>4.5</v>
      </c>
      <c r="E95" s="8">
        <v>2.94</v>
      </c>
      <c r="F95" s="8">
        <v>7</v>
      </c>
      <c r="G95" s="8">
        <v>58</v>
      </c>
      <c r="H95" s="8">
        <v>10</v>
      </c>
      <c r="I95" s="8">
        <v>3.3E-3</v>
      </c>
      <c r="J95" s="8">
        <v>65</v>
      </c>
      <c r="K95">
        <v>0</v>
      </c>
    </row>
    <row r="96" spans="1:11" x14ac:dyDescent="0.3">
      <c r="A96" s="8">
        <v>310</v>
      </c>
      <c r="B96" s="8">
        <v>4</v>
      </c>
      <c r="C96" s="8">
        <v>165</v>
      </c>
      <c r="D96" s="8">
        <v>2</v>
      </c>
      <c r="E96" s="8">
        <v>2.94</v>
      </c>
      <c r="F96" s="8">
        <v>17</v>
      </c>
      <c r="G96" s="8">
        <v>86</v>
      </c>
      <c r="H96" s="8">
        <v>15</v>
      </c>
      <c r="I96" s="8">
        <v>3.3999999999999998E-3</v>
      </c>
      <c r="J96" s="8">
        <v>114</v>
      </c>
      <c r="K96">
        <v>0</v>
      </c>
    </row>
    <row r="97" spans="1:11" x14ac:dyDescent="0.3">
      <c r="A97" s="8">
        <v>230</v>
      </c>
      <c r="B97" s="8">
        <v>5</v>
      </c>
      <c r="C97" s="8">
        <v>164</v>
      </c>
      <c r="D97" s="8">
        <v>2.5</v>
      </c>
      <c r="E97" s="8">
        <v>2.94</v>
      </c>
      <c r="F97" s="8">
        <v>7</v>
      </c>
      <c r="G97" s="8">
        <v>65</v>
      </c>
      <c r="H97" s="8">
        <v>14</v>
      </c>
      <c r="I97" s="8">
        <v>2E-3</v>
      </c>
      <c r="J97" s="8">
        <v>55</v>
      </c>
      <c r="K97">
        <v>0</v>
      </c>
    </row>
    <row r="98" spans="1:11" x14ac:dyDescent="0.3">
      <c r="A98" s="8">
        <v>330</v>
      </c>
      <c r="B98" s="8">
        <v>7</v>
      </c>
      <c r="C98" s="8">
        <v>0</v>
      </c>
      <c r="D98" s="8">
        <v>5</v>
      </c>
      <c r="E98" s="8">
        <v>2.94</v>
      </c>
      <c r="F98" s="8">
        <v>21</v>
      </c>
      <c r="G98" s="8">
        <v>81</v>
      </c>
      <c r="H98" s="8">
        <v>22</v>
      </c>
      <c r="I98" s="8">
        <v>3.2000000000000002E-3</v>
      </c>
      <c r="J98" s="8">
        <v>0</v>
      </c>
      <c r="K98">
        <v>0</v>
      </c>
    </row>
    <row r="99" spans="1:11" x14ac:dyDescent="0.3">
      <c r="A99" s="8">
        <v>300</v>
      </c>
      <c r="B99" s="8">
        <v>10</v>
      </c>
      <c r="C99" s="8">
        <v>149</v>
      </c>
      <c r="D99" s="8">
        <v>6.3</v>
      </c>
      <c r="E99" s="8">
        <v>2.94</v>
      </c>
      <c r="F99" s="8">
        <v>10</v>
      </c>
      <c r="G99" s="8">
        <v>73</v>
      </c>
      <c r="H99" s="8">
        <v>18</v>
      </c>
      <c r="I99" s="8">
        <v>2E-3</v>
      </c>
      <c r="J99" s="8">
        <v>54</v>
      </c>
      <c r="K99">
        <v>0</v>
      </c>
    </row>
    <row r="100" spans="1:11" x14ac:dyDescent="0.3">
      <c r="A100" s="8">
        <v>238</v>
      </c>
      <c r="B100" s="8">
        <v>5</v>
      </c>
      <c r="C100" s="8">
        <v>170</v>
      </c>
      <c r="D100" s="8">
        <v>4.5999999999999996</v>
      </c>
      <c r="E100" s="8">
        <v>2.94</v>
      </c>
      <c r="F100" s="8">
        <v>15</v>
      </c>
      <c r="G100" s="8">
        <v>91</v>
      </c>
      <c r="H100" s="8">
        <v>11</v>
      </c>
      <c r="I100" s="8">
        <v>4.4000000000000003E-3</v>
      </c>
      <c r="J100" s="8">
        <v>97</v>
      </c>
      <c r="K100">
        <v>0</v>
      </c>
    </row>
    <row r="101" spans="1:11" x14ac:dyDescent="0.3">
      <c r="A101" s="8">
        <v>300</v>
      </c>
      <c r="B101" s="8">
        <v>11</v>
      </c>
      <c r="C101" s="8">
        <v>160</v>
      </c>
      <c r="D101" s="8">
        <v>4</v>
      </c>
      <c r="E101" s="8">
        <v>2.94</v>
      </c>
      <c r="F101" s="8">
        <v>10</v>
      </c>
      <c r="G101" s="8">
        <v>73</v>
      </c>
      <c r="H101" s="8">
        <v>18</v>
      </c>
      <c r="I101" s="8">
        <v>2.2000000000000001E-3</v>
      </c>
      <c r="J101" s="8">
        <v>62</v>
      </c>
      <c r="K101">
        <v>1</v>
      </c>
    </row>
    <row r="102" spans="1:11" x14ac:dyDescent="0.3">
      <c r="A102" s="8">
        <v>290</v>
      </c>
      <c r="B102" s="8">
        <v>5</v>
      </c>
      <c r="C102" s="8">
        <v>150</v>
      </c>
      <c r="D102" s="8">
        <v>7</v>
      </c>
      <c r="E102" s="8">
        <v>2.94</v>
      </c>
      <c r="F102" s="8">
        <v>5</v>
      </c>
      <c r="G102" s="8">
        <v>55</v>
      </c>
      <c r="H102" s="8">
        <v>13</v>
      </c>
      <c r="I102" s="8">
        <v>1.9E-3</v>
      </c>
      <c r="J102" s="8">
        <v>49</v>
      </c>
      <c r="K102">
        <v>0</v>
      </c>
    </row>
    <row r="103" spans="1:11" x14ac:dyDescent="0.3">
      <c r="A103" s="8">
        <v>304</v>
      </c>
      <c r="B103" s="8">
        <v>6</v>
      </c>
      <c r="C103" s="8">
        <v>165</v>
      </c>
      <c r="D103" s="8">
        <v>3.4</v>
      </c>
      <c r="E103" s="8">
        <v>2.94</v>
      </c>
      <c r="F103" s="8">
        <v>2</v>
      </c>
      <c r="G103" s="8">
        <v>57</v>
      </c>
      <c r="H103" s="8">
        <v>10</v>
      </c>
      <c r="I103" s="8">
        <v>1.2999999999999999E-3</v>
      </c>
      <c r="J103" s="8">
        <v>1</v>
      </c>
      <c r="K103">
        <v>0</v>
      </c>
    </row>
    <row r="104" spans="1:11" x14ac:dyDescent="0.3">
      <c r="A104" s="8">
        <v>266</v>
      </c>
      <c r="B104" s="8">
        <v>7</v>
      </c>
      <c r="C104" s="8">
        <v>165</v>
      </c>
      <c r="D104" s="8">
        <v>2.7</v>
      </c>
      <c r="E104" s="8">
        <v>2.94</v>
      </c>
      <c r="F104" s="8">
        <v>3</v>
      </c>
      <c r="G104" s="8">
        <v>32</v>
      </c>
      <c r="H104" s="8">
        <v>12</v>
      </c>
      <c r="I104" s="8">
        <v>2.1000000000000003E-3</v>
      </c>
      <c r="J104" s="8">
        <v>104</v>
      </c>
      <c r="K104">
        <v>0</v>
      </c>
    </row>
    <row r="105" spans="1:11" x14ac:dyDescent="0.3">
      <c r="A105" s="8">
        <v>320</v>
      </c>
      <c r="B105" s="8">
        <v>7</v>
      </c>
      <c r="C105" s="8">
        <v>155</v>
      </c>
      <c r="D105" s="8">
        <v>2.8</v>
      </c>
      <c r="E105" s="8">
        <v>2.94</v>
      </c>
      <c r="F105" s="8">
        <v>15</v>
      </c>
      <c r="G105" s="8">
        <v>150</v>
      </c>
      <c r="H105" s="8">
        <v>9</v>
      </c>
      <c r="I105" s="8">
        <v>4.0000000000000001E-3</v>
      </c>
      <c r="J105" s="8">
        <v>76</v>
      </c>
      <c r="K105">
        <v>0</v>
      </c>
    </row>
    <row r="106" spans="1:11" x14ac:dyDescent="0.3">
      <c r="A106" s="8">
        <v>501</v>
      </c>
      <c r="B106" s="8">
        <v>6</v>
      </c>
      <c r="C106" s="8">
        <v>0</v>
      </c>
      <c r="D106" s="8">
        <v>4.7</v>
      </c>
      <c r="E106" s="8">
        <v>2.94</v>
      </c>
      <c r="F106" s="8">
        <v>15</v>
      </c>
      <c r="G106" s="8">
        <v>87</v>
      </c>
      <c r="H106" s="8">
        <v>13</v>
      </c>
      <c r="I106" s="8">
        <v>2E-3</v>
      </c>
      <c r="J106" s="8">
        <v>0</v>
      </c>
      <c r="K106">
        <v>0</v>
      </c>
    </row>
    <row r="107" spans="1:11" x14ac:dyDescent="0.3">
      <c r="A107" s="8">
        <v>620</v>
      </c>
      <c r="B107" s="8">
        <v>6</v>
      </c>
      <c r="C107" s="8">
        <v>158</v>
      </c>
      <c r="D107" s="8">
        <v>3.5</v>
      </c>
      <c r="E107" s="8">
        <v>2.94</v>
      </c>
      <c r="F107" s="8">
        <v>10</v>
      </c>
      <c r="G107" s="8">
        <v>86</v>
      </c>
      <c r="H107" s="8">
        <v>12</v>
      </c>
      <c r="I107" s="8">
        <v>2.5999999999999999E-3</v>
      </c>
      <c r="J107" s="8">
        <v>108</v>
      </c>
      <c r="K107">
        <v>1</v>
      </c>
    </row>
    <row r="108" spans="1:11" x14ac:dyDescent="0.3">
      <c r="A108" s="8">
        <v>490</v>
      </c>
      <c r="B108" s="8">
        <v>4</v>
      </c>
      <c r="C108" s="8">
        <v>158</v>
      </c>
      <c r="D108" s="8">
        <v>2.7</v>
      </c>
      <c r="E108" s="8">
        <v>2.94</v>
      </c>
      <c r="F108" s="8">
        <v>1</v>
      </c>
      <c r="G108" s="8">
        <v>46</v>
      </c>
      <c r="H108" s="8">
        <v>9</v>
      </c>
      <c r="I108" s="8">
        <v>5.9999999999999995E-4</v>
      </c>
      <c r="J108" s="8">
        <v>115</v>
      </c>
      <c r="K108">
        <v>0</v>
      </c>
    </row>
    <row r="109" spans="1:11" x14ac:dyDescent="0.3">
      <c r="A109" s="8">
        <v>513</v>
      </c>
      <c r="B109" s="8">
        <v>2</v>
      </c>
      <c r="C109" s="8">
        <v>160</v>
      </c>
      <c r="D109" s="8">
        <v>4.7</v>
      </c>
      <c r="E109" s="8">
        <v>2.94</v>
      </c>
      <c r="F109" s="8">
        <v>7</v>
      </c>
      <c r="G109" s="8">
        <v>66</v>
      </c>
      <c r="H109" s="8">
        <v>10</v>
      </c>
      <c r="I109" s="8">
        <v>3.0000000000000001E-3</v>
      </c>
      <c r="J109" s="8">
        <v>86</v>
      </c>
      <c r="K109">
        <v>1</v>
      </c>
    </row>
    <row r="110" spans="1:11" x14ac:dyDescent="0.3">
      <c r="A110" s="8">
        <v>420</v>
      </c>
      <c r="B110" s="8">
        <v>8</v>
      </c>
      <c r="C110" s="8">
        <v>157</v>
      </c>
      <c r="D110" s="8">
        <v>2</v>
      </c>
      <c r="E110" s="8">
        <v>2.94</v>
      </c>
      <c r="F110" s="8">
        <v>15</v>
      </c>
      <c r="G110" s="8">
        <v>107</v>
      </c>
      <c r="H110" s="8">
        <v>12</v>
      </c>
      <c r="I110" s="8">
        <v>3.3E-3</v>
      </c>
      <c r="J110" s="8">
        <v>84</v>
      </c>
      <c r="K110">
        <v>0</v>
      </c>
    </row>
    <row r="111" spans="1:11" x14ac:dyDescent="0.3">
      <c r="A111" s="8">
        <v>510</v>
      </c>
      <c r="B111" s="8">
        <v>6</v>
      </c>
      <c r="C111" s="8">
        <v>145</v>
      </c>
      <c r="D111" s="8">
        <v>2</v>
      </c>
      <c r="E111" s="8">
        <v>2.94</v>
      </c>
      <c r="F111" s="8">
        <v>10</v>
      </c>
      <c r="G111" s="8">
        <v>60</v>
      </c>
      <c r="H111" s="8">
        <v>14</v>
      </c>
      <c r="I111" s="8">
        <v>3.3999999999999998E-3</v>
      </c>
      <c r="J111" s="8">
        <v>87</v>
      </c>
      <c r="K111">
        <v>1</v>
      </c>
    </row>
    <row r="112" spans="1:11" x14ac:dyDescent="0.3">
      <c r="A112" s="8">
        <v>650</v>
      </c>
      <c r="B112" s="8">
        <v>6</v>
      </c>
      <c r="C112" s="8">
        <v>152</v>
      </c>
      <c r="D112" s="8">
        <v>3.5</v>
      </c>
      <c r="E112" s="8">
        <v>2.94</v>
      </c>
      <c r="F112" s="8">
        <v>7</v>
      </c>
      <c r="G112" s="8">
        <v>69</v>
      </c>
      <c r="H112" s="8">
        <v>13</v>
      </c>
      <c r="I112" s="8">
        <v>2.2000000000000001E-3</v>
      </c>
      <c r="J112" s="8">
        <v>51</v>
      </c>
      <c r="K112">
        <v>0</v>
      </c>
    </row>
    <row r="113" spans="1:11" x14ac:dyDescent="0.3">
      <c r="A113" s="8">
        <v>640</v>
      </c>
      <c r="B113" s="8">
        <v>2</v>
      </c>
      <c r="C113" s="8">
        <v>165</v>
      </c>
      <c r="D113" s="8">
        <v>3.5</v>
      </c>
      <c r="E113" s="8">
        <v>2.94</v>
      </c>
      <c r="F113" s="8">
        <v>6</v>
      </c>
      <c r="G113" s="8">
        <v>45</v>
      </c>
      <c r="H113" s="8">
        <v>15</v>
      </c>
      <c r="I113" s="8">
        <v>2.5000000000000001E-3</v>
      </c>
      <c r="J113" s="8">
        <v>109</v>
      </c>
      <c r="K113">
        <v>0</v>
      </c>
    </row>
    <row r="114" spans="1:11" x14ac:dyDescent="0.3">
      <c r="A114" s="8">
        <v>507</v>
      </c>
      <c r="B114" s="8">
        <v>8</v>
      </c>
      <c r="C114" s="8">
        <v>160</v>
      </c>
      <c r="D114" s="8">
        <v>4.4000000000000004</v>
      </c>
      <c r="E114" s="8">
        <v>2.94</v>
      </c>
      <c r="F114" s="8">
        <v>7</v>
      </c>
      <c r="G114" s="8">
        <v>66</v>
      </c>
      <c r="H114" s="8">
        <v>12</v>
      </c>
      <c r="I114" s="8">
        <v>2.7000000000000001E-3</v>
      </c>
      <c r="J114" s="8">
        <v>88</v>
      </c>
      <c r="K114">
        <v>0</v>
      </c>
    </row>
    <row r="115" spans="1:11" x14ac:dyDescent="0.3">
      <c r="A115" s="8">
        <v>320</v>
      </c>
      <c r="B115" s="8">
        <v>14</v>
      </c>
      <c r="C115" s="8">
        <v>170</v>
      </c>
      <c r="D115" s="8">
        <v>1.3</v>
      </c>
      <c r="E115" s="8">
        <v>2.94</v>
      </c>
      <c r="F115" s="8">
        <v>15</v>
      </c>
      <c r="G115" s="8">
        <v>96</v>
      </c>
      <c r="H115" s="8">
        <v>17</v>
      </c>
      <c r="I115" s="8">
        <v>2.8999999999999998E-3</v>
      </c>
      <c r="J115" s="8">
        <v>74</v>
      </c>
      <c r="K115">
        <v>0</v>
      </c>
    </row>
    <row r="116" spans="1:11" x14ac:dyDescent="0.3">
      <c r="A116" s="8">
        <v>480</v>
      </c>
      <c r="B116" s="8">
        <v>3</v>
      </c>
      <c r="C116" s="8">
        <v>150</v>
      </c>
      <c r="D116" s="8">
        <v>3</v>
      </c>
      <c r="E116" s="8">
        <v>2.94</v>
      </c>
      <c r="F116" s="8">
        <v>5</v>
      </c>
      <c r="G116" s="8">
        <v>44</v>
      </c>
      <c r="H116" s="8">
        <v>17</v>
      </c>
      <c r="I116" s="8">
        <v>2.3999999999999998E-3</v>
      </c>
      <c r="J116" s="8">
        <v>109</v>
      </c>
      <c r="K116">
        <v>0</v>
      </c>
    </row>
    <row r="117" spans="1:11" x14ac:dyDescent="0.3">
      <c r="A117" s="8">
        <v>509</v>
      </c>
      <c r="B117" s="8">
        <v>10</v>
      </c>
      <c r="C117" s="8">
        <v>169</v>
      </c>
      <c r="D117" s="8">
        <v>0.9</v>
      </c>
      <c r="E117" s="8">
        <v>2.94</v>
      </c>
      <c r="F117" s="8">
        <v>10</v>
      </c>
      <c r="G117" s="8">
        <v>79</v>
      </c>
      <c r="H117" s="8">
        <v>15</v>
      </c>
      <c r="I117" s="8">
        <v>2.5000000000000001E-3</v>
      </c>
      <c r="J117" s="8">
        <v>73</v>
      </c>
      <c r="K117">
        <v>0</v>
      </c>
    </row>
    <row r="118" spans="1:11" x14ac:dyDescent="0.3">
      <c r="A118" s="8">
        <v>478</v>
      </c>
      <c r="B118" s="8">
        <v>16</v>
      </c>
      <c r="C118" s="8">
        <v>169</v>
      </c>
      <c r="D118" s="8">
        <v>1.3</v>
      </c>
      <c r="E118" s="8">
        <v>2.94</v>
      </c>
      <c r="F118" s="8">
        <v>15</v>
      </c>
      <c r="G118" s="8">
        <v>110</v>
      </c>
      <c r="H118" s="8">
        <v>16</v>
      </c>
      <c r="I118" s="8">
        <v>2.5000000000000001E-3</v>
      </c>
      <c r="J118" s="8">
        <v>49</v>
      </c>
      <c r="K118">
        <v>1</v>
      </c>
    </row>
    <row r="119" spans="1:11" x14ac:dyDescent="0.3">
      <c r="A119" s="8">
        <v>500</v>
      </c>
      <c r="B119" s="8">
        <v>3</v>
      </c>
      <c r="C119" s="8">
        <v>148</v>
      </c>
      <c r="D119" s="8">
        <v>13.1</v>
      </c>
      <c r="E119" s="8">
        <v>2.94</v>
      </c>
      <c r="F119" s="8">
        <v>10</v>
      </c>
      <c r="G119" s="8">
        <v>89</v>
      </c>
      <c r="H119" s="8">
        <v>16</v>
      </c>
      <c r="I119" s="8">
        <v>2.2000000000000001E-3</v>
      </c>
      <c r="J119" s="8">
        <v>69</v>
      </c>
      <c r="K119">
        <v>1</v>
      </c>
    </row>
    <row r="120" spans="1:11" x14ac:dyDescent="0.3">
      <c r="A120" s="8">
        <v>490</v>
      </c>
      <c r="B120" s="8">
        <v>9</v>
      </c>
      <c r="C120" s="8">
        <v>0</v>
      </c>
      <c r="D120" s="8">
        <v>1.3</v>
      </c>
      <c r="E120" s="8">
        <v>2.94</v>
      </c>
      <c r="F120" s="8">
        <v>5</v>
      </c>
      <c r="G120" s="8">
        <v>46</v>
      </c>
      <c r="H120" s="8">
        <v>14</v>
      </c>
      <c r="I120" s="8">
        <v>2.2000000000000001E-3</v>
      </c>
      <c r="J120" s="8">
        <v>0</v>
      </c>
      <c r="K120">
        <v>0</v>
      </c>
    </row>
    <row r="121" spans="1:11" x14ac:dyDescent="0.3">
      <c r="A121" s="8">
        <v>470</v>
      </c>
      <c r="B121" s="8">
        <v>6</v>
      </c>
      <c r="C121" s="8">
        <v>165</v>
      </c>
      <c r="D121" s="8">
        <v>2.8</v>
      </c>
      <c r="E121" s="8">
        <v>2.94</v>
      </c>
      <c r="F121" s="8">
        <v>5</v>
      </c>
      <c r="G121" s="8">
        <v>46</v>
      </c>
      <c r="H121" s="8">
        <v>14</v>
      </c>
      <c r="I121" s="8">
        <v>1.6999999999999999E-3</v>
      </c>
      <c r="J121" s="8">
        <v>66</v>
      </c>
      <c r="K121">
        <v>0</v>
      </c>
    </row>
    <row r="122" spans="1:11" x14ac:dyDescent="0.3">
      <c r="A122" s="8">
        <v>370</v>
      </c>
      <c r="B122" s="8">
        <v>10</v>
      </c>
      <c r="C122" s="8">
        <v>150</v>
      </c>
      <c r="D122" s="8">
        <v>1.3</v>
      </c>
      <c r="E122" s="8">
        <v>2.94</v>
      </c>
      <c r="F122" s="8">
        <v>7</v>
      </c>
      <c r="G122" s="8">
        <v>48</v>
      </c>
      <c r="H122" s="8">
        <v>18</v>
      </c>
      <c r="I122" s="8">
        <v>2E-3</v>
      </c>
      <c r="J122" s="8">
        <v>106</v>
      </c>
      <c r="K122">
        <v>0</v>
      </c>
    </row>
    <row r="123" spans="1:11" x14ac:dyDescent="0.3">
      <c r="A123" s="8">
        <v>480</v>
      </c>
      <c r="B123" s="8">
        <v>4</v>
      </c>
      <c r="C123" s="8">
        <v>150</v>
      </c>
      <c r="D123" s="8">
        <v>1.5</v>
      </c>
      <c r="E123" s="8">
        <v>2.94</v>
      </c>
      <c r="F123" s="8">
        <v>0</v>
      </c>
      <c r="G123" s="8">
        <v>51</v>
      </c>
      <c r="H123" s="8">
        <v>15</v>
      </c>
      <c r="I123" s="8">
        <v>1.9E-3</v>
      </c>
      <c r="J123" s="8">
        <v>32</v>
      </c>
      <c r="K123">
        <v>0</v>
      </c>
    </row>
    <row r="124" spans="1:11" x14ac:dyDescent="0.3">
      <c r="A124" s="8">
        <v>287</v>
      </c>
      <c r="B124" s="8">
        <v>5</v>
      </c>
      <c r="C124" s="8">
        <v>180</v>
      </c>
      <c r="D124" s="8">
        <v>2.5</v>
      </c>
      <c r="E124" s="8">
        <v>2.94</v>
      </c>
      <c r="F124" s="8">
        <v>5</v>
      </c>
      <c r="G124" s="8">
        <v>57</v>
      </c>
      <c r="H124" s="8">
        <v>12</v>
      </c>
      <c r="I124" s="8">
        <v>2.3E-3</v>
      </c>
      <c r="J124" s="8">
        <v>77</v>
      </c>
      <c r="K124">
        <v>0</v>
      </c>
    </row>
    <row r="125" spans="1:11" x14ac:dyDescent="0.3">
      <c r="A125" s="8">
        <v>170</v>
      </c>
      <c r="B125" s="8">
        <v>5</v>
      </c>
      <c r="C125" s="8">
        <v>150</v>
      </c>
      <c r="D125" s="8">
        <v>2.5</v>
      </c>
      <c r="E125" s="8">
        <v>2.94</v>
      </c>
      <c r="F125" s="8">
        <v>5</v>
      </c>
      <c r="G125" s="8">
        <v>53</v>
      </c>
      <c r="H125" s="8">
        <v>11</v>
      </c>
      <c r="I125" s="8">
        <v>2.3E-3</v>
      </c>
      <c r="J125" s="8">
        <v>75</v>
      </c>
      <c r="K125">
        <v>0</v>
      </c>
    </row>
    <row r="126" spans="1:11" x14ac:dyDescent="0.3">
      <c r="A126" s="8">
        <v>569</v>
      </c>
      <c r="B126" s="8">
        <v>10</v>
      </c>
      <c r="C126" s="8">
        <v>160</v>
      </c>
      <c r="D126" s="8">
        <v>1.3</v>
      </c>
      <c r="E126" s="8">
        <v>2.94</v>
      </c>
      <c r="F126" s="8">
        <v>5</v>
      </c>
      <c r="G126" s="8">
        <v>46</v>
      </c>
      <c r="H126" s="8">
        <v>16</v>
      </c>
      <c r="I126" s="8">
        <v>2E-3</v>
      </c>
      <c r="J126" s="8">
        <v>73</v>
      </c>
      <c r="K126">
        <v>0</v>
      </c>
    </row>
    <row r="127" spans="1:11" x14ac:dyDescent="0.3">
      <c r="A127" s="8">
        <v>270</v>
      </c>
      <c r="B127" s="8">
        <v>7</v>
      </c>
      <c r="C127" s="8">
        <v>156</v>
      </c>
      <c r="D127" s="8">
        <v>4.5999999999999996</v>
      </c>
      <c r="E127" s="8">
        <v>2.94</v>
      </c>
      <c r="F127" s="8">
        <v>15</v>
      </c>
      <c r="G127" s="8">
        <v>95</v>
      </c>
      <c r="H127" s="8">
        <v>13</v>
      </c>
      <c r="I127" s="8">
        <v>3.5000000000000001E-3</v>
      </c>
      <c r="J127" s="8">
        <v>77</v>
      </c>
      <c r="K127">
        <v>0</v>
      </c>
    </row>
    <row r="128" spans="1:11" x14ac:dyDescent="0.3">
      <c r="A128" s="8">
        <v>400</v>
      </c>
      <c r="B128" s="8">
        <v>10</v>
      </c>
      <c r="C128" s="8">
        <v>142</v>
      </c>
      <c r="D128" s="8">
        <v>2.8</v>
      </c>
      <c r="E128" s="8">
        <v>2.94</v>
      </c>
      <c r="F128" s="8">
        <v>10</v>
      </c>
      <c r="G128" s="8">
        <v>84</v>
      </c>
      <c r="H128" s="8">
        <v>13</v>
      </c>
      <c r="I128" s="8">
        <v>2.1000000000000003E-3</v>
      </c>
      <c r="J128" s="8">
        <v>64</v>
      </c>
      <c r="K128">
        <v>0</v>
      </c>
    </row>
    <row r="129" spans="1:11" x14ac:dyDescent="0.3">
      <c r="A129" s="8">
        <v>260</v>
      </c>
      <c r="B129" s="8">
        <v>7</v>
      </c>
      <c r="C129" s="8">
        <v>165</v>
      </c>
      <c r="D129" s="8">
        <v>1.4</v>
      </c>
      <c r="E129" s="8">
        <v>2.94</v>
      </c>
      <c r="F129" s="8">
        <v>6</v>
      </c>
      <c r="G129" s="8">
        <v>59</v>
      </c>
      <c r="H129" s="8">
        <v>19</v>
      </c>
      <c r="I129" s="8">
        <v>1.6999999999999999E-3</v>
      </c>
      <c r="J129" s="8">
        <v>109</v>
      </c>
      <c r="K129">
        <v>0</v>
      </c>
    </row>
    <row r="130" spans="1:11" x14ac:dyDescent="0.3">
      <c r="A130" s="8">
        <v>300</v>
      </c>
      <c r="B130" s="8">
        <v>8</v>
      </c>
      <c r="C130" s="8">
        <v>135</v>
      </c>
      <c r="D130" s="8">
        <v>1.5</v>
      </c>
      <c r="E130" s="8">
        <v>2.94</v>
      </c>
      <c r="F130" s="8">
        <v>5</v>
      </c>
      <c r="G130" s="8">
        <v>63</v>
      </c>
      <c r="H130" s="8">
        <v>12</v>
      </c>
      <c r="I130" s="8">
        <v>1.8E-3</v>
      </c>
      <c r="J130" s="8">
        <v>52</v>
      </c>
      <c r="K130">
        <v>0</v>
      </c>
    </row>
    <row r="131" spans="1:11" x14ac:dyDescent="0.3">
      <c r="A131" s="8">
        <v>330</v>
      </c>
      <c r="B131" s="8">
        <v>3</v>
      </c>
      <c r="C131" s="8">
        <v>156</v>
      </c>
      <c r="D131" s="8">
        <v>4.7</v>
      </c>
      <c r="E131" s="8">
        <v>2.94</v>
      </c>
      <c r="F131" s="8">
        <v>5</v>
      </c>
      <c r="G131" s="8">
        <v>61</v>
      </c>
      <c r="H131" s="8">
        <v>11</v>
      </c>
      <c r="I131" s="8">
        <v>1.6999999999999999E-3</v>
      </c>
      <c r="J131" s="8">
        <v>55</v>
      </c>
      <c r="K131">
        <v>0</v>
      </c>
    </row>
    <row r="132" spans="1:11" x14ac:dyDescent="0.3">
      <c r="A132" s="8">
        <v>310</v>
      </c>
      <c r="B132" s="8">
        <v>3</v>
      </c>
      <c r="C132" s="8">
        <v>157</v>
      </c>
      <c r="D132" s="8">
        <v>4.5</v>
      </c>
      <c r="E132" s="8">
        <v>2.94</v>
      </c>
      <c r="F132" s="8">
        <v>21</v>
      </c>
      <c r="G132" s="8">
        <v>106</v>
      </c>
      <c r="H132" s="8">
        <v>21</v>
      </c>
      <c r="I132" s="8">
        <v>3.0000000000000001E-3</v>
      </c>
      <c r="J132" s="8">
        <v>83</v>
      </c>
      <c r="K132">
        <v>0</v>
      </c>
    </row>
    <row r="133" spans="1:11" x14ac:dyDescent="0.3">
      <c r="A133" s="8">
        <v>190</v>
      </c>
      <c r="B133" s="8">
        <v>5</v>
      </c>
      <c r="C133" s="8">
        <v>123</v>
      </c>
      <c r="D133" s="8">
        <v>5</v>
      </c>
      <c r="E133" s="8">
        <v>2.94</v>
      </c>
      <c r="F133" s="8">
        <v>10</v>
      </c>
      <c r="G133" s="8">
        <v>73</v>
      </c>
      <c r="H133" s="8">
        <v>11</v>
      </c>
      <c r="I133" s="8">
        <v>3.5000000000000001E-3</v>
      </c>
      <c r="J133" s="8">
        <v>51</v>
      </c>
      <c r="K133">
        <v>0</v>
      </c>
    </row>
    <row r="134" spans="1:11" x14ac:dyDescent="0.3">
      <c r="A134" s="8">
        <v>420</v>
      </c>
      <c r="B134" s="8">
        <v>12</v>
      </c>
      <c r="C134" s="8">
        <v>167</v>
      </c>
      <c r="D134" s="8">
        <v>1.3</v>
      </c>
      <c r="E134" s="8">
        <v>2.94</v>
      </c>
      <c r="F134" s="8">
        <v>5</v>
      </c>
      <c r="G134" s="8">
        <v>45</v>
      </c>
      <c r="H134" s="8">
        <v>17</v>
      </c>
      <c r="I134" s="8">
        <v>1.6999999999999999E-3</v>
      </c>
      <c r="J134" s="8">
        <v>54</v>
      </c>
      <c r="K134">
        <v>1</v>
      </c>
    </row>
    <row r="135" spans="1:11" x14ac:dyDescent="0.3">
      <c r="A135" s="8">
        <v>250</v>
      </c>
      <c r="B135" s="8">
        <v>6</v>
      </c>
      <c r="C135" s="8">
        <v>155</v>
      </c>
      <c r="D135" s="8">
        <v>2.2999999999999998</v>
      </c>
      <c r="E135" s="8">
        <v>2.94</v>
      </c>
      <c r="F135" s="8">
        <v>5</v>
      </c>
      <c r="G135" s="8">
        <v>37</v>
      </c>
      <c r="H135" s="8">
        <v>16</v>
      </c>
      <c r="I135" s="8">
        <v>2.2000000000000001E-3</v>
      </c>
      <c r="J135" s="8">
        <v>99</v>
      </c>
      <c r="K135">
        <v>0</v>
      </c>
    </row>
    <row r="136" spans="1:11" x14ac:dyDescent="0.3">
      <c r="A136" s="8">
        <v>300</v>
      </c>
      <c r="B136" s="8">
        <v>10</v>
      </c>
      <c r="C136" s="8">
        <v>149</v>
      </c>
      <c r="D136" s="8">
        <v>6.3</v>
      </c>
      <c r="E136" s="8">
        <v>2.94</v>
      </c>
      <c r="F136" s="8">
        <v>10</v>
      </c>
      <c r="G136" s="8">
        <v>73</v>
      </c>
      <c r="H136" s="8">
        <v>18</v>
      </c>
      <c r="I136" s="8">
        <v>2E-3</v>
      </c>
      <c r="J136" s="8">
        <v>54</v>
      </c>
      <c r="K136">
        <v>0</v>
      </c>
    </row>
    <row r="137" spans="1:11" x14ac:dyDescent="0.3">
      <c r="A137" s="8">
        <v>304</v>
      </c>
      <c r="B137" s="8">
        <v>6</v>
      </c>
      <c r="C137" s="8">
        <v>165</v>
      </c>
      <c r="D137" s="8">
        <v>3.4</v>
      </c>
      <c r="E137" s="8">
        <v>2.94</v>
      </c>
      <c r="F137" s="8">
        <v>2</v>
      </c>
      <c r="G137" s="8">
        <v>57</v>
      </c>
      <c r="H137" s="8">
        <v>10</v>
      </c>
      <c r="I137" s="8">
        <v>1.2999999999999999E-3</v>
      </c>
      <c r="J137" s="8">
        <v>1</v>
      </c>
      <c r="K137">
        <v>0</v>
      </c>
    </row>
    <row r="138" spans="1:11" x14ac:dyDescent="0.3">
      <c r="A138" s="8">
        <v>266</v>
      </c>
      <c r="B138" s="8">
        <v>7</v>
      </c>
      <c r="C138" s="8">
        <v>165</v>
      </c>
      <c r="D138" s="8">
        <v>2.7</v>
      </c>
      <c r="E138" s="8">
        <v>2.94</v>
      </c>
      <c r="F138" s="8">
        <v>3</v>
      </c>
      <c r="G138" s="8">
        <v>32</v>
      </c>
      <c r="H138" s="8">
        <v>12</v>
      </c>
      <c r="I138" s="8">
        <v>2.1000000000000003E-3</v>
      </c>
      <c r="J138" s="8">
        <v>104</v>
      </c>
      <c r="K138">
        <v>0</v>
      </c>
    </row>
    <row r="139" spans="1:11" x14ac:dyDescent="0.3">
      <c r="A139" s="8">
        <v>260</v>
      </c>
      <c r="B139" s="8">
        <v>7</v>
      </c>
      <c r="C139" s="8">
        <v>165</v>
      </c>
      <c r="D139" s="8">
        <v>1.4</v>
      </c>
      <c r="E139" s="8">
        <v>2.94</v>
      </c>
      <c r="F139" s="8">
        <v>6</v>
      </c>
      <c r="G139" s="8">
        <v>59</v>
      </c>
      <c r="H139" s="8">
        <v>19</v>
      </c>
      <c r="I139" s="8">
        <v>1.6999999999999999E-3</v>
      </c>
      <c r="J139" s="8">
        <v>109</v>
      </c>
      <c r="K139">
        <v>0</v>
      </c>
    </row>
    <row r="140" spans="1:11" x14ac:dyDescent="0.3">
      <c r="A140" s="8">
        <v>300</v>
      </c>
      <c r="B140" s="8">
        <v>8</v>
      </c>
      <c r="C140" s="8">
        <v>135</v>
      </c>
      <c r="D140" s="8">
        <v>1.5</v>
      </c>
      <c r="E140" s="8">
        <v>2.94</v>
      </c>
      <c r="F140" s="8">
        <v>5</v>
      </c>
      <c r="G140" s="8">
        <v>63</v>
      </c>
      <c r="H140" s="8">
        <v>12</v>
      </c>
      <c r="I140" s="8">
        <v>1.8E-3</v>
      </c>
      <c r="J140" s="8">
        <v>52</v>
      </c>
      <c r="K140">
        <v>0</v>
      </c>
    </row>
    <row r="141" spans="1:11" x14ac:dyDescent="0.3">
      <c r="A141" s="8">
        <v>330</v>
      </c>
      <c r="B141" s="8">
        <v>7</v>
      </c>
      <c r="C141" s="8">
        <v>0</v>
      </c>
      <c r="D141" s="8">
        <v>5</v>
      </c>
      <c r="E141" s="8">
        <v>2.94</v>
      </c>
      <c r="F141" s="8">
        <v>21</v>
      </c>
      <c r="G141" s="8">
        <v>81</v>
      </c>
      <c r="H141" s="8">
        <v>22</v>
      </c>
      <c r="I141" s="8">
        <v>3.2000000000000002E-3</v>
      </c>
      <c r="J141" s="8">
        <v>0</v>
      </c>
      <c r="K141">
        <v>0</v>
      </c>
    </row>
    <row r="142" spans="1:11" x14ac:dyDescent="0.3">
      <c r="A142" s="8">
        <v>501</v>
      </c>
      <c r="B142" s="8">
        <v>6</v>
      </c>
      <c r="C142" s="8">
        <v>0</v>
      </c>
      <c r="D142" s="8">
        <v>4.7</v>
      </c>
      <c r="E142" s="8">
        <v>2.94</v>
      </c>
      <c r="F142" s="8">
        <v>15</v>
      </c>
      <c r="G142" s="8">
        <v>87</v>
      </c>
      <c r="H142" s="8">
        <v>13</v>
      </c>
      <c r="I142" s="8">
        <v>2E-3</v>
      </c>
      <c r="J142" s="8">
        <v>0</v>
      </c>
      <c r="K142">
        <v>0</v>
      </c>
    </row>
    <row r="143" spans="1:11" x14ac:dyDescent="0.3">
      <c r="A143" s="8">
        <v>490</v>
      </c>
      <c r="B143" s="8">
        <v>9</v>
      </c>
      <c r="C143" s="8">
        <v>0</v>
      </c>
      <c r="D143" s="8">
        <v>1.3</v>
      </c>
      <c r="E143" s="8">
        <v>2.94</v>
      </c>
      <c r="F143" s="8">
        <v>5</v>
      </c>
      <c r="G143" s="8">
        <v>46</v>
      </c>
      <c r="H143" s="8">
        <v>14</v>
      </c>
      <c r="I143" s="8">
        <v>2.2000000000000001E-3</v>
      </c>
      <c r="J143" s="8">
        <v>0</v>
      </c>
      <c r="K143">
        <v>0</v>
      </c>
    </row>
    <row r="144" spans="1:11" x14ac:dyDescent="0.3">
      <c r="A144" s="8">
        <v>330</v>
      </c>
      <c r="B144" s="8">
        <v>4</v>
      </c>
      <c r="C144" s="8">
        <v>153</v>
      </c>
      <c r="D144" s="8">
        <v>3.2</v>
      </c>
      <c r="E144" s="8">
        <v>2.94</v>
      </c>
      <c r="F144" s="8">
        <v>7</v>
      </c>
      <c r="G144" s="8">
        <v>113</v>
      </c>
      <c r="H144" s="8">
        <v>12</v>
      </c>
      <c r="I144" s="8">
        <v>2E-3</v>
      </c>
      <c r="J144" s="8">
        <v>50</v>
      </c>
      <c r="K144">
        <v>0</v>
      </c>
    </row>
    <row r="145" spans="1:11" x14ac:dyDescent="0.3">
      <c r="A145" s="8">
        <v>230</v>
      </c>
      <c r="B145" s="8">
        <v>6</v>
      </c>
      <c r="C145" s="8">
        <v>157</v>
      </c>
      <c r="D145" s="8">
        <v>4</v>
      </c>
      <c r="E145" s="8">
        <v>2.94</v>
      </c>
      <c r="F145" s="8">
        <v>10</v>
      </c>
      <c r="G145" s="8">
        <v>71</v>
      </c>
      <c r="H145" s="8">
        <v>12</v>
      </c>
      <c r="I145" s="8">
        <v>3.5000000000000001E-3</v>
      </c>
      <c r="J145" s="8">
        <v>100</v>
      </c>
      <c r="K145">
        <v>0</v>
      </c>
    </row>
    <row r="146" spans="1:11" x14ac:dyDescent="0.3">
      <c r="A146" s="8">
        <v>523</v>
      </c>
      <c r="B146" s="8">
        <v>7</v>
      </c>
      <c r="C146" s="8">
        <v>160</v>
      </c>
      <c r="D146" s="8">
        <v>1.1000000000000001</v>
      </c>
      <c r="E146" s="8">
        <v>2.94</v>
      </c>
      <c r="F146" s="8">
        <v>10</v>
      </c>
      <c r="G146" s="8">
        <v>70</v>
      </c>
      <c r="H146" s="8">
        <v>15</v>
      </c>
      <c r="I146" s="8">
        <v>2.7000000000000001E-3</v>
      </c>
      <c r="J146" s="8">
        <v>55</v>
      </c>
      <c r="K146">
        <v>0</v>
      </c>
    </row>
    <row r="147" spans="1:11" x14ac:dyDescent="0.3">
      <c r="A147" s="8">
        <v>350</v>
      </c>
      <c r="B147" s="8">
        <v>4</v>
      </c>
      <c r="C147" s="8">
        <v>151</v>
      </c>
      <c r="D147" s="8">
        <v>3</v>
      </c>
      <c r="E147" s="8">
        <v>2.94</v>
      </c>
      <c r="F147" s="8">
        <v>5</v>
      </c>
      <c r="G147" s="8">
        <v>56</v>
      </c>
      <c r="H147" s="8">
        <v>12</v>
      </c>
      <c r="I147" s="8">
        <v>1.9E-3</v>
      </c>
      <c r="J147" s="8">
        <v>71</v>
      </c>
      <c r="K147">
        <v>0</v>
      </c>
    </row>
    <row r="148" spans="1:11" x14ac:dyDescent="0.3">
      <c r="A148" s="8">
        <v>180</v>
      </c>
      <c r="B148" s="8">
        <v>6</v>
      </c>
      <c r="C148" s="8">
        <v>157</v>
      </c>
      <c r="D148" s="8">
        <v>2.1</v>
      </c>
      <c r="E148" s="8">
        <v>2.94</v>
      </c>
      <c r="F148" s="8">
        <v>5</v>
      </c>
      <c r="G148" s="8">
        <v>54</v>
      </c>
      <c r="H148" s="8">
        <v>10</v>
      </c>
      <c r="I148" s="8">
        <v>2.2000000000000001E-3</v>
      </c>
      <c r="J148" s="8">
        <v>54</v>
      </c>
      <c r="K148">
        <v>0</v>
      </c>
    </row>
    <row r="149" spans="1:11" x14ac:dyDescent="0.3">
      <c r="A149" s="8">
        <v>326</v>
      </c>
      <c r="B149" s="8">
        <v>5</v>
      </c>
      <c r="C149" s="8">
        <v>163</v>
      </c>
      <c r="D149" s="8">
        <v>3.5</v>
      </c>
      <c r="E149" s="8">
        <v>2.94</v>
      </c>
      <c r="F149" s="8">
        <v>5</v>
      </c>
      <c r="G149" s="8">
        <v>54</v>
      </c>
      <c r="H149" s="8">
        <v>13</v>
      </c>
      <c r="I149" s="8">
        <v>1.5E-3</v>
      </c>
      <c r="J149" s="8">
        <v>62</v>
      </c>
      <c r="K149">
        <v>0</v>
      </c>
    </row>
    <row r="150" spans="1:11" x14ac:dyDescent="0.3">
      <c r="A150" s="8">
        <v>310</v>
      </c>
      <c r="B150" s="8">
        <v>16</v>
      </c>
      <c r="C150" s="8">
        <v>160</v>
      </c>
      <c r="D150" s="8">
        <v>6.1</v>
      </c>
      <c r="E150" s="8">
        <v>2.94</v>
      </c>
      <c r="F150" s="8">
        <v>5</v>
      </c>
      <c r="G150" s="8">
        <v>64</v>
      </c>
      <c r="H150" s="8">
        <v>11</v>
      </c>
      <c r="I150" s="8">
        <v>2.5000000000000001E-3</v>
      </c>
      <c r="J150" s="8">
        <v>31</v>
      </c>
      <c r="K150">
        <v>0</v>
      </c>
    </row>
    <row r="151" spans="1:11" x14ac:dyDescent="0.3">
      <c r="A151" s="8">
        <v>230</v>
      </c>
      <c r="B151" s="8">
        <v>4</v>
      </c>
      <c r="C151" s="8">
        <v>150</v>
      </c>
      <c r="D151" s="8">
        <v>10</v>
      </c>
      <c r="E151" s="8">
        <v>2.94</v>
      </c>
      <c r="F151" s="8">
        <v>5</v>
      </c>
      <c r="G151" s="8">
        <v>67</v>
      </c>
      <c r="H151" s="8">
        <v>16</v>
      </c>
      <c r="I151" s="8">
        <v>1.4E-3</v>
      </c>
      <c r="J151" s="8">
        <v>89</v>
      </c>
      <c r="K151">
        <v>1</v>
      </c>
    </row>
    <row r="152" spans="1:11" x14ac:dyDescent="0.3">
      <c r="A152" s="8">
        <v>289</v>
      </c>
      <c r="B152" s="8">
        <v>6</v>
      </c>
      <c r="C152" s="8">
        <v>148</v>
      </c>
      <c r="D152" s="8">
        <v>5</v>
      </c>
      <c r="E152" s="8">
        <v>2.94</v>
      </c>
      <c r="F152" s="8">
        <v>10</v>
      </c>
      <c r="G152" s="8">
        <v>71</v>
      </c>
      <c r="H152" s="8">
        <v>19</v>
      </c>
      <c r="I152" s="8">
        <v>2E-3</v>
      </c>
      <c r="J152" s="8">
        <v>80</v>
      </c>
      <c r="K152">
        <v>1</v>
      </c>
    </row>
    <row r="153" spans="1:11" x14ac:dyDescent="0.3">
      <c r="A153" s="8">
        <v>346</v>
      </c>
      <c r="B153" s="8">
        <v>7</v>
      </c>
      <c r="C153" s="8">
        <v>165</v>
      </c>
      <c r="D153" s="8">
        <v>5</v>
      </c>
      <c r="E153" s="8">
        <v>2.94</v>
      </c>
      <c r="F153" s="8">
        <v>5</v>
      </c>
      <c r="G153" s="8">
        <v>37</v>
      </c>
      <c r="H153" s="8">
        <v>19</v>
      </c>
      <c r="I153" s="8">
        <v>2E-3</v>
      </c>
      <c r="J153" s="8">
        <v>110</v>
      </c>
      <c r="K153">
        <v>0</v>
      </c>
    </row>
    <row r="154" spans="1:11" x14ac:dyDescent="0.3">
      <c r="A154" s="8">
        <v>309</v>
      </c>
      <c r="B154" s="8">
        <v>10</v>
      </c>
      <c r="C154" s="8">
        <v>126</v>
      </c>
      <c r="D154" s="8">
        <v>4</v>
      </c>
      <c r="E154" s="8">
        <v>2.94</v>
      </c>
      <c r="F154" s="8">
        <v>10</v>
      </c>
      <c r="G154" s="8">
        <v>92</v>
      </c>
      <c r="H154" s="8">
        <v>14</v>
      </c>
      <c r="I154" s="8">
        <v>1.6999999999999999E-3</v>
      </c>
      <c r="J154" s="8">
        <v>42</v>
      </c>
      <c r="K154">
        <v>0</v>
      </c>
    </row>
    <row r="155" spans="1:11" x14ac:dyDescent="0.3">
      <c r="A155" s="8">
        <v>330</v>
      </c>
      <c r="B155" s="8">
        <v>4</v>
      </c>
      <c r="C155" s="8">
        <v>155</v>
      </c>
      <c r="D155" s="8">
        <v>3.5</v>
      </c>
      <c r="E155" s="8">
        <v>2.94</v>
      </c>
      <c r="F155" s="8">
        <v>15</v>
      </c>
      <c r="G155" s="8">
        <v>96</v>
      </c>
      <c r="H155" s="8">
        <v>11</v>
      </c>
      <c r="I155" s="8">
        <v>5.0999999999999995E-3</v>
      </c>
      <c r="J155" s="8">
        <v>74</v>
      </c>
      <c r="K155">
        <v>0</v>
      </c>
    </row>
    <row r="156" spans="1:11" x14ac:dyDescent="0.3">
      <c r="A156" s="8">
        <v>360</v>
      </c>
      <c r="B156" s="8">
        <v>10</v>
      </c>
      <c r="C156" s="8">
        <v>160</v>
      </c>
      <c r="D156" s="8">
        <v>4</v>
      </c>
      <c r="E156" s="8">
        <v>2.94</v>
      </c>
      <c r="F156" s="8">
        <v>10</v>
      </c>
      <c r="G156" s="8">
        <v>77</v>
      </c>
      <c r="H156" s="8">
        <v>17</v>
      </c>
      <c r="I156" s="8">
        <v>2.2000000000000001E-3</v>
      </c>
      <c r="J156" s="8">
        <v>63</v>
      </c>
      <c r="K156">
        <v>1</v>
      </c>
    </row>
    <row r="157" spans="1:11" x14ac:dyDescent="0.3">
      <c r="A157" s="8">
        <v>300</v>
      </c>
      <c r="B157" s="8">
        <v>3</v>
      </c>
      <c r="C157" s="8">
        <v>160</v>
      </c>
      <c r="D157" s="8">
        <v>4</v>
      </c>
      <c r="E157" s="8">
        <v>2.94</v>
      </c>
      <c r="F157" s="8">
        <v>5</v>
      </c>
      <c r="G157" s="8">
        <v>45</v>
      </c>
      <c r="H157" s="8">
        <v>14</v>
      </c>
      <c r="I157" s="8">
        <v>2.1000000000000003E-3</v>
      </c>
      <c r="J157" s="8">
        <v>96</v>
      </c>
      <c r="K157">
        <v>0</v>
      </c>
    </row>
    <row r="158" spans="1:11" x14ac:dyDescent="0.3">
      <c r="A158" s="8">
        <v>270</v>
      </c>
      <c r="B158" s="8">
        <v>6</v>
      </c>
      <c r="C158" s="8">
        <v>148</v>
      </c>
      <c r="D158" s="8">
        <v>2.4</v>
      </c>
      <c r="E158" s="8">
        <v>2.94</v>
      </c>
      <c r="F158" s="8">
        <v>7</v>
      </c>
      <c r="G158" s="8">
        <v>40</v>
      </c>
      <c r="H158" s="8">
        <v>17</v>
      </c>
      <c r="I158" s="8">
        <v>2.5000000000000001E-3</v>
      </c>
      <c r="J158" s="8">
        <v>54</v>
      </c>
      <c r="K158">
        <v>0</v>
      </c>
    </row>
    <row r="159" spans="1:11" x14ac:dyDescent="0.3">
      <c r="A159" s="8">
        <v>200</v>
      </c>
      <c r="B159" s="8">
        <v>3</v>
      </c>
      <c r="C159" s="8">
        <v>156</v>
      </c>
      <c r="D159" s="8">
        <v>4</v>
      </c>
      <c r="E159" s="8">
        <v>2.94</v>
      </c>
      <c r="F159" s="8">
        <v>7</v>
      </c>
      <c r="G159" s="8">
        <v>53</v>
      </c>
      <c r="H159" s="8">
        <v>19</v>
      </c>
      <c r="I159" s="8">
        <v>1.8E-3</v>
      </c>
      <c r="J159" s="8">
        <v>75</v>
      </c>
      <c r="K159">
        <v>0</v>
      </c>
    </row>
    <row r="160" spans="1:11" x14ac:dyDescent="0.3">
      <c r="A160" s="8">
        <v>296</v>
      </c>
      <c r="B160" s="8">
        <v>8</v>
      </c>
      <c r="C160" s="8">
        <v>135</v>
      </c>
      <c r="D160" s="8">
        <v>4.7</v>
      </c>
      <c r="E160" s="8">
        <v>2.94</v>
      </c>
      <c r="F160" s="8">
        <v>3</v>
      </c>
      <c r="G160" s="8">
        <v>46</v>
      </c>
      <c r="H160" s="8">
        <v>16</v>
      </c>
      <c r="I160" s="8">
        <v>1E-3</v>
      </c>
      <c r="J160" s="8">
        <v>84</v>
      </c>
      <c r="K160">
        <v>0</v>
      </c>
    </row>
    <row r="161" spans="1:11" x14ac:dyDescent="0.3">
      <c r="A161" s="8">
        <v>270</v>
      </c>
      <c r="B161" s="8">
        <v>4</v>
      </c>
      <c r="C161" s="8">
        <v>155</v>
      </c>
      <c r="D161" s="8">
        <v>4.5</v>
      </c>
      <c r="E161" s="8">
        <v>2.94</v>
      </c>
      <c r="F161" s="8">
        <v>7</v>
      </c>
      <c r="G161" s="8">
        <v>58</v>
      </c>
      <c r="H161" s="8">
        <v>10</v>
      </c>
      <c r="I161" s="8">
        <v>3.3E-3</v>
      </c>
      <c r="J161" s="8">
        <v>65</v>
      </c>
      <c r="K161">
        <v>0</v>
      </c>
    </row>
    <row r="162" spans="1:11" x14ac:dyDescent="0.3">
      <c r="A162" s="8">
        <v>310</v>
      </c>
      <c r="B162" s="8">
        <v>4</v>
      </c>
      <c r="C162" s="8">
        <v>165</v>
      </c>
      <c r="D162" s="8">
        <v>2</v>
      </c>
      <c r="E162" s="8">
        <v>2.94</v>
      </c>
      <c r="F162" s="8">
        <v>17</v>
      </c>
      <c r="G162" s="8">
        <v>86</v>
      </c>
      <c r="H162" s="8">
        <v>15</v>
      </c>
      <c r="I162" s="8">
        <v>3.3999999999999998E-3</v>
      </c>
      <c r="J162" s="8">
        <v>114</v>
      </c>
      <c r="K162">
        <v>0</v>
      </c>
    </row>
    <row r="163" spans="1:11" x14ac:dyDescent="0.3">
      <c r="A163" s="8">
        <v>230</v>
      </c>
      <c r="B163" s="8">
        <v>5</v>
      </c>
      <c r="C163" s="8">
        <v>164</v>
      </c>
      <c r="D163" s="8">
        <v>2.5</v>
      </c>
      <c r="E163" s="8">
        <v>2.94</v>
      </c>
      <c r="F163" s="8">
        <v>7</v>
      </c>
      <c r="G163" s="8">
        <v>65</v>
      </c>
      <c r="H163" s="8">
        <v>14</v>
      </c>
      <c r="I163" s="8">
        <v>2E-3</v>
      </c>
      <c r="J163" s="8">
        <v>55</v>
      </c>
      <c r="K163">
        <v>0</v>
      </c>
    </row>
    <row r="164" spans="1:11" x14ac:dyDescent="0.3">
      <c r="A164" s="8">
        <v>300</v>
      </c>
      <c r="B164" s="8">
        <v>11</v>
      </c>
      <c r="C164" s="8">
        <v>160</v>
      </c>
      <c r="D164" s="8">
        <v>4</v>
      </c>
      <c r="E164" s="8">
        <v>2.94</v>
      </c>
      <c r="F164" s="8">
        <v>10</v>
      </c>
      <c r="G164" s="8">
        <v>73</v>
      </c>
      <c r="H164" s="8">
        <v>18</v>
      </c>
      <c r="I164" s="8">
        <v>2.2000000000000001E-3</v>
      </c>
      <c r="J164" s="8">
        <v>62</v>
      </c>
      <c r="K164">
        <v>1</v>
      </c>
    </row>
    <row r="165" spans="1:11" x14ac:dyDescent="0.3">
      <c r="A165" s="8">
        <v>290</v>
      </c>
      <c r="B165" s="8">
        <v>5</v>
      </c>
      <c r="C165" s="8">
        <v>150</v>
      </c>
      <c r="D165" s="8">
        <v>7</v>
      </c>
      <c r="E165" s="8">
        <v>2.94</v>
      </c>
      <c r="F165" s="8">
        <v>5</v>
      </c>
      <c r="G165" s="8">
        <v>55</v>
      </c>
      <c r="H165" s="8">
        <v>13</v>
      </c>
      <c r="I165" s="8">
        <v>1.9E-3</v>
      </c>
      <c r="J165" s="8">
        <v>49</v>
      </c>
      <c r="K165">
        <v>0</v>
      </c>
    </row>
    <row r="166" spans="1:11" x14ac:dyDescent="0.3">
      <c r="A166" s="8">
        <v>320</v>
      </c>
      <c r="B166" s="8">
        <v>7</v>
      </c>
      <c r="C166" s="8">
        <v>155</v>
      </c>
      <c r="D166" s="8">
        <v>2.8</v>
      </c>
      <c r="E166" s="8">
        <v>2.94</v>
      </c>
      <c r="F166" s="8">
        <v>15</v>
      </c>
      <c r="G166" s="8">
        <v>150</v>
      </c>
      <c r="H166" s="8">
        <v>9</v>
      </c>
      <c r="I166" s="8">
        <v>4.0000000000000001E-3</v>
      </c>
      <c r="J166" s="8">
        <v>76</v>
      </c>
      <c r="K166">
        <v>0</v>
      </c>
    </row>
    <row r="167" spans="1:11" x14ac:dyDescent="0.3">
      <c r="A167" s="8">
        <v>490</v>
      </c>
      <c r="B167" s="8">
        <v>4</v>
      </c>
      <c r="C167" s="8">
        <v>158</v>
      </c>
      <c r="D167" s="8">
        <v>2.7</v>
      </c>
      <c r="E167" s="8">
        <v>2.94</v>
      </c>
      <c r="F167" s="8">
        <v>1</v>
      </c>
      <c r="G167" s="8">
        <v>46</v>
      </c>
      <c r="H167" s="8">
        <v>9</v>
      </c>
      <c r="I167" s="8">
        <v>5.9999999999999995E-4</v>
      </c>
      <c r="J167" s="8">
        <v>115</v>
      </c>
      <c r="K167">
        <v>0</v>
      </c>
    </row>
    <row r="168" spans="1:11" x14ac:dyDescent="0.3">
      <c r="A168" s="8">
        <v>513</v>
      </c>
      <c r="B168" s="8">
        <v>2</v>
      </c>
      <c r="C168" s="8">
        <v>160</v>
      </c>
      <c r="D168" s="8">
        <v>4.7</v>
      </c>
      <c r="E168" s="8">
        <v>2.94</v>
      </c>
      <c r="F168" s="8">
        <v>7</v>
      </c>
      <c r="G168" s="8">
        <v>66</v>
      </c>
      <c r="H168" s="8">
        <v>10</v>
      </c>
      <c r="I168" s="8">
        <v>3.0000000000000001E-3</v>
      </c>
      <c r="J168" s="8">
        <v>86</v>
      </c>
      <c r="K168">
        <v>1</v>
      </c>
    </row>
    <row r="169" spans="1:11" x14ac:dyDescent="0.3">
      <c r="A169" s="8">
        <v>420</v>
      </c>
      <c r="B169" s="8">
        <v>8</v>
      </c>
      <c r="C169" s="8">
        <v>157</v>
      </c>
      <c r="D169" s="8">
        <v>2</v>
      </c>
      <c r="E169" s="8">
        <v>2.94</v>
      </c>
      <c r="F169" s="8">
        <v>15</v>
      </c>
      <c r="G169" s="8">
        <v>107</v>
      </c>
      <c r="H169" s="8">
        <v>12</v>
      </c>
      <c r="I169" s="8">
        <v>3.3E-3</v>
      </c>
      <c r="J169" s="8">
        <v>84</v>
      </c>
      <c r="K169">
        <v>0</v>
      </c>
    </row>
    <row r="170" spans="1:11" x14ac:dyDescent="0.3">
      <c r="A170" s="8">
        <v>510</v>
      </c>
      <c r="B170" s="8">
        <v>6</v>
      </c>
      <c r="C170" s="8">
        <v>145</v>
      </c>
      <c r="D170" s="8">
        <v>2</v>
      </c>
      <c r="E170" s="8">
        <v>2.94</v>
      </c>
      <c r="F170" s="8">
        <v>10</v>
      </c>
      <c r="G170" s="8">
        <v>60</v>
      </c>
      <c r="H170" s="8">
        <v>14</v>
      </c>
      <c r="I170" s="8">
        <v>3.3999999999999998E-3</v>
      </c>
      <c r="J170" s="8">
        <v>87</v>
      </c>
      <c r="K170">
        <v>1</v>
      </c>
    </row>
    <row r="171" spans="1:11" x14ac:dyDescent="0.3">
      <c r="A171" s="8">
        <v>650</v>
      </c>
      <c r="B171" s="8">
        <v>6</v>
      </c>
      <c r="C171" s="8">
        <v>152</v>
      </c>
      <c r="D171" s="8">
        <v>3.5</v>
      </c>
      <c r="E171" s="8">
        <v>2.94</v>
      </c>
      <c r="F171" s="8">
        <v>7</v>
      </c>
      <c r="G171" s="8">
        <v>69</v>
      </c>
      <c r="H171" s="8">
        <v>13</v>
      </c>
      <c r="I171" s="8">
        <v>2.2000000000000001E-3</v>
      </c>
      <c r="J171" s="8">
        <v>51</v>
      </c>
      <c r="K171">
        <v>0</v>
      </c>
    </row>
    <row r="172" spans="1:11" x14ac:dyDescent="0.3">
      <c r="A172" s="8">
        <v>640</v>
      </c>
      <c r="B172" s="8">
        <v>2</v>
      </c>
      <c r="C172" s="8">
        <v>165</v>
      </c>
      <c r="D172" s="8">
        <v>3.5</v>
      </c>
      <c r="E172" s="8">
        <v>2.94</v>
      </c>
      <c r="F172" s="8">
        <v>6</v>
      </c>
      <c r="G172" s="8">
        <v>45</v>
      </c>
      <c r="H172" s="8">
        <v>15</v>
      </c>
      <c r="I172" s="8">
        <v>2.5000000000000001E-3</v>
      </c>
      <c r="J172" s="8">
        <v>109</v>
      </c>
      <c r="K172">
        <v>0</v>
      </c>
    </row>
    <row r="173" spans="1:11" x14ac:dyDescent="0.3">
      <c r="A173" s="8">
        <v>507</v>
      </c>
      <c r="B173" s="8">
        <v>8</v>
      </c>
      <c r="C173" s="8">
        <v>160</v>
      </c>
      <c r="D173" s="8">
        <v>4.4000000000000004</v>
      </c>
      <c r="E173" s="8">
        <v>2.94</v>
      </c>
      <c r="F173" s="8">
        <v>7</v>
      </c>
      <c r="G173" s="8">
        <v>66</v>
      </c>
      <c r="H173" s="8">
        <v>12</v>
      </c>
      <c r="I173" s="8">
        <v>2.7000000000000001E-3</v>
      </c>
      <c r="J173" s="8">
        <v>88</v>
      </c>
      <c r="K173">
        <v>0</v>
      </c>
    </row>
    <row r="174" spans="1:11" x14ac:dyDescent="0.3">
      <c r="A174" s="8">
        <v>480</v>
      </c>
      <c r="B174" s="8">
        <v>3</v>
      </c>
      <c r="C174" s="8">
        <v>150</v>
      </c>
      <c r="D174" s="8">
        <v>3</v>
      </c>
      <c r="E174" s="8">
        <v>2.94</v>
      </c>
      <c r="F174" s="8">
        <v>5</v>
      </c>
      <c r="G174" s="8">
        <v>44</v>
      </c>
      <c r="H174" s="8">
        <v>17</v>
      </c>
      <c r="I174" s="8">
        <v>2.3999999999999998E-3</v>
      </c>
      <c r="J174" s="8">
        <v>109</v>
      </c>
      <c r="K174">
        <v>0</v>
      </c>
    </row>
    <row r="175" spans="1:11" x14ac:dyDescent="0.3">
      <c r="A175" s="8">
        <v>509</v>
      </c>
      <c r="B175" s="8">
        <v>10</v>
      </c>
      <c r="C175" s="8">
        <v>169</v>
      </c>
      <c r="D175" s="8">
        <v>0.9</v>
      </c>
      <c r="E175" s="8">
        <v>2.94</v>
      </c>
      <c r="F175" s="8">
        <v>10</v>
      </c>
      <c r="G175" s="8">
        <v>79</v>
      </c>
      <c r="H175" s="8">
        <v>15</v>
      </c>
      <c r="I175" s="8">
        <v>2.5000000000000001E-3</v>
      </c>
      <c r="J175" s="8">
        <v>73</v>
      </c>
      <c r="K175">
        <v>0</v>
      </c>
    </row>
    <row r="176" spans="1:11" x14ac:dyDescent="0.3">
      <c r="A176" s="8">
        <v>478</v>
      </c>
      <c r="B176" s="8">
        <v>16</v>
      </c>
      <c r="C176" s="8">
        <v>169</v>
      </c>
      <c r="D176" s="8">
        <v>1.3</v>
      </c>
      <c r="E176" s="8">
        <v>2.94</v>
      </c>
      <c r="F176" s="8">
        <v>15</v>
      </c>
      <c r="G176" s="8">
        <v>110</v>
      </c>
      <c r="H176" s="8">
        <v>16</v>
      </c>
      <c r="I176" s="8">
        <v>2.5000000000000001E-3</v>
      </c>
      <c r="J176" s="8">
        <v>49</v>
      </c>
      <c r="K176">
        <v>1</v>
      </c>
    </row>
    <row r="177" spans="1:11" x14ac:dyDescent="0.3">
      <c r="A177" s="8">
        <v>500</v>
      </c>
      <c r="B177" s="8">
        <v>3</v>
      </c>
      <c r="C177" s="8">
        <v>148</v>
      </c>
      <c r="D177" s="8">
        <v>13.1</v>
      </c>
      <c r="E177" s="8">
        <v>2.94</v>
      </c>
      <c r="F177" s="8">
        <v>10</v>
      </c>
      <c r="G177" s="8">
        <v>89</v>
      </c>
      <c r="H177" s="8">
        <v>16</v>
      </c>
      <c r="I177" s="8">
        <v>2.2000000000000001E-3</v>
      </c>
      <c r="J177" s="8">
        <v>69</v>
      </c>
      <c r="K177">
        <v>1</v>
      </c>
    </row>
    <row r="178" spans="1:11" x14ac:dyDescent="0.3">
      <c r="A178" s="8">
        <v>470</v>
      </c>
      <c r="B178" s="8">
        <v>6</v>
      </c>
      <c r="C178" s="8">
        <v>165</v>
      </c>
      <c r="D178" s="8">
        <v>2.8</v>
      </c>
      <c r="E178" s="8">
        <v>2.94</v>
      </c>
      <c r="F178" s="8">
        <v>5</v>
      </c>
      <c r="G178" s="8">
        <v>46</v>
      </c>
      <c r="H178" s="8">
        <v>14</v>
      </c>
      <c r="I178" s="8">
        <v>1.6999999999999999E-3</v>
      </c>
      <c r="J178" s="8">
        <v>66</v>
      </c>
      <c r="K178">
        <v>0</v>
      </c>
    </row>
    <row r="179" spans="1:11" x14ac:dyDescent="0.3">
      <c r="A179" s="8">
        <v>370</v>
      </c>
      <c r="B179" s="8">
        <v>10</v>
      </c>
      <c r="C179" s="8">
        <v>150</v>
      </c>
      <c r="D179" s="8">
        <v>1.3</v>
      </c>
      <c r="E179" s="8">
        <v>2.94</v>
      </c>
      <c r="F179" s="8">
        <v>7</v>
      </c>
      <c r="G179" s="8">
        <v>48</v>
      </c>
      <c r="H179" s="8">
        <v>18</v>
      </c>
      <c r="I179" s="8">
        <v>2E-3</v>
      </c>
      <c r="J179" s="8">
        <v>106</v>
      </c>
      <c r="K179">
        <v>0</v>
      </c>
    </row>
    <row r="180" spans="1:11" x14ac:dyDescent="0.3">
      <c r="A180" s="8">
        <v>480</v>
      </c>
      <c r="B180" s="8">
        <v>4</v>
      </c>
      <c r="C180" s="8">
        <v>150</v>
      </c>
      <c r="D180" s="8">
        <v>1.5</v>
      </c>
      <c r="E180" s="8">
        <v>2.94</v>
      </c>
      <c r="F180" s="8">
        <v>0</v>
      </c>
      <c r="G180" s="8">
        <v>51</v>
      </c>
      <c r="H180" s="8">
        <v>15</v>
      </c>
      <c r="I180" s="8">
        <v>1.9E-3</v>
      </c>
      <c r="J180" s="8">
        <v>32</v>
      </c>
      <c r="K180">
        <v>0</v>
      </c>
    </row>
    <row r="181" spans="1:11" x14ac:dyDescent="0.3">
      <c r="A181" s="8">
        <v>287</v>
      </c>
      <c r="B181" s="8">
        <v>5</v>
      </c>
      <c r="C181" s="8">
        <v>180</v>
      </c>
      <c r="D181" s="8">
        <v>2.5</v>
      </c>
      <c r="E181" s="8">
        <v>2.94</v>
      </c>
      <c r="F181" s="8">
        <v>5</v>
      </c>
      <c r="G181" s="8">
        <v>57</v>
      </c>
      <c r="H181" s="8">
        <v>12</v>
      </c>
      <c r="I181" s="8">
        <v>2.3E-3</v>
      </c>
      <c r="J181" s="8">
        <v>77</v>
      </c>
      <c r="K181">
        <v>0</v>
      </c>
    </row>
    <row r="182" spans="1:11" x14ac:dyDescent="0.3">
      <c r="A182" s="8">
        <v>170</v>
      </c>
      <c r="B182" s="8">
        <v>5</v>
      </c>
      <c r="C182" s="8">
        <v>150</v>
      </c>
      <c r="D182" s="8">
        <v>2.5</v>
      </c>
      <c r="E182" s="8">
        <v>2.94</v>
      </c>
      <c r="F182" s="8">
        <v>5</v>
      </c>
      <c r="G182" s="8">
        <v>53</v>
      </c>
      <c r="H182" s="8">
        <v>11</v>
      </c>
      <c r="I182" s="8">
        <v>2.3E-3</v>
      </c>
      <c r="J182" s="8">
        <v>75</v>
      </c>
      <c r="K182">
        <v>0</v>
      </c>
    </row>
    <row r="183" spans="1:11" x14ac:dyDescent="0.3">
      <c r="A183" s="8">
        <v>569</v>
      </c>
      <c r="B183" s="8">
        <v>10</v>
      </c>
      <c r="C183" s="8">
        <v>160</v>
      </c>
      <c r="D183" s="8">
        <v>1.3</v>
      </c>
      <c r="E183" s="8">
        <v>2.94</v>
      </c>
      <c r="F183" s="8">
        <v>5</v>
      </c>
      <c r="G183" s="8">
        <v>46</v>
      </c>
      <c r="H183" s="8">
        <v>16</v>
      </c>
      <c r="I183" s="8">
        <v>2E-3</v>
      </c>
      <c r="J183" s="8">
        <v>73</v>
      </c>
      <c r="K183">
        <v>0</v>
      </c>
    </row>
    <row r="184" spans="1:11" x14ac:dyDescent="0.3">
      <c r="A184" s="8">
        <v>270</v>
      </c>
      <c r="B184" s="8">
        <v>7</v>
      </c>
      <c r="C184" s="8">
        <v>156</v>
      </c>
      <c r="D184" s="8">
        <v>4.5999999999999996</v>
      </c>
      <c r="E184" s="8">
        <v>2.94</v>
      </c>
      <c r="F184" s="8">
        <v>15</v>
      </c>
      <c r="G184" s="8">
        <v>95</v>
      </c>
      <c r="H184" s="8">
        <v>13</v>
      </c>
      <c r="I184" s="8">
        <v>3.5000000000000001E-3</v>
      </c>
      <c r="J184" s="8">
        <v>77</v>
      </c>
      <c r="K184">
        <v>0</v>
      </c>
    </row>
    <row r="185" spans="1:11" x14ac:dyDescent="0.3">
      <c r="A185" s="8">
        <v>400</v>
      </c>
      <c r="B185" s="8">
        <v>10</v>
      </c>
      <c r="C185" s="8">
        <v>142</v>
      </c>
      <c r="D185" s="8">
        <v>2.8</v>
      </c>
      <c r="E185" s="8">
        <v>2.94</v>
      </c>
      <c r="F185" s="8">
        <v>10</v>
      </c>
      <c r="G185" s="8">
        <v>84</v>
      </c>
      <c r="H185" s="8">
        <v>13</v>
      </c>
      <c r="I185" s="8">
        <v>2.1000000000000003E-3</v>
      </c>
      <c r="J185" s="8">
        <v>64</v>
      </c>
      <c r="K185">
        <v>0</v>
      </c>
    </row>
    <row r="186" spans="1:11" x14ac:dyDescent="0.3">
      <c r="A186" s="8">
        <v>330</v>
      </c>
      <c r="B186" s="8">
        <v>3</v>
      </c>
      <c r="C186" s="8">
        <v>156</v>
      </c>
      <c r="D186" s="8">
        <v>4.7</v>
      </c>
      <c r="E186" s="8">
        <v>2.94</v>
      </c>
      <c r="F186" s="8">
        <v>5</v>
      </c>
      <c r="G186" s="8">
        <v>61</v>
      </c>
      <c r="H186" s="8">
        <v>11</v>
      </c>
      <c r="I186" s="8">
        <v>1.6999999999999999E-3</v>
      </c>
      <c r="J186" s="8">
        <v>55</v>
      </c>
      <c r="K186">
        <v>0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"/>
  <sheetViews>
    <sheetView workbookViewId="0">
      <selection activeCell="G17" sqref="G17"/>
    </sheetView>
  </sheetViews>
  <sheetFormatPr defaultRowHeight="14.4" x14ac:dyDescent="0.3"/>
  <cols>
    <col min="2" max="2" width="6.44140625" customWidth="1"/>
    <col min="3" max="3" width="7.109375" customWidth="1"/>
    <col min="4" max="5" width="6.44140625" customWidth="1"/>
    <col min="6" max="6" width="7" customWidth="1"/>
    <col min="7" max="7" width="6.44140625" customWidth="1"/>
    <col min="8" max="8" width="6.33203125" customWidth="1"/>
    <col min="9" max="9" width="5.88671875" customWidth="1"/>
    <col min="10" max="10" width="5.6640625" customWidth="1"/>
    <col min="11" max="11" width="6.109375" customWidth="1"/>
    <col min="12" max="12" width="6.5546875" customWidth="1"/>
  </cols>
  <sheetData>
    <row r="1" spans="1:12" ht="15" thickBot="1" x14ac:dyDescent="0.35">
      <c r="A1" s="75"/>
      <c r="B1" s="76" t="s">
        <v>104</v>
      </c>
      <c r="C1" s="76" t="s">
        <v>105</v>
      </c>
      <c r="D1" s="76" t="s">
        <v>106</v>
      </c>
      <c r="E1" s="76" t="s">
        <v>107</v>
      </c>
      <c r="F1" s="76" t="s">
        <v>108</v>
      </c>
      <c r="G1" s="76" t="s">
        <v>109</v>
      </c>
      <c r="H1" s="76" t="s">
        <v>110</v>
      </c>
      <c r="I1" s="76" t="s">
        <v>111</v>
      </c>
      <c r="J1" s="76" t="s">
        <v>112</v>
      </c>
      <c r="K1" s="76" t="s">
        <v>113</v>
      </c>
      <c r="L1" s="77" t="s">
        <v>115</v>
      </c>
    </row>
    <row r="2" spans="1:12" x14ac:dyDescent="0.3">
      <c r="A2" s="80" t="s">
        <v>104</v>
      </c>
      <c r="B2" s="78">
        <v>1</v>
      </c>
      <c r="C2" s="73"/>
      <c r="D2" s="73"/>
      <c r="E2" s="73"/>
      <c r="F2" s="73"/>
      <c r="G2" s="73"/>
      <c r="H2" s="73"/>
      <c r="I2" s="73"/>
      <c r="J2" s="73"/>
      <c r="K2" s="73"/>
      <c r="L2" s="74"/>
    </row>
    <row r="3" spans="1:12" x14ac:dyDescent="0.3">
      <c r="A3" s="81" t="s">
        <v>105</v>
      </c>
      <c r="B3" s="79">
        <v>-0.18616142870237024</v>
      </c>
      <c r="C3" s="71">
        <v>1</v>
      </c>
      <c r="D3" s="71"/>
      <c r="E3" s="71"/>
      <c r="F3" s="71"/>
      <c r="G3" s="71"/>
      <c r="H3" s="71"/>
      <c r="I3" s="71"/>
      <c r="J3" s="71"/>
      <c r="K3" s="71"/>
      <c r="L3" s="72"/>
    </row>
    <row r="4" spans="1:12" x14ac:dyDescent="0.3">
      <c r="A4" s="81" t="s">
        <v>106</v>
      </c>
      <c r="B4" s="79">
        <v>0.72673540558474814</v>
      </c>
      <c r="C4" s="71">
        <v>-0.23818174480229259</v>
      </c>
      <c r="D4" s="71">
        <v>1</v>
      </c>
      <c r="E4" s="71"/>
      <c r="F4" s="71"/>
      <c r="G4" s="71"/>
      <c r="H4" s="71"/>
      <c r="I4" s="71"/>
      <c r="J4" s="71"/>
      <c r="K4" s="71"/>
      <c r="L4" s="72"/>
    </row>
    <row r="5" spans="1:12" x14ac:dyDescent="0.3">
      <c r="A5" s="81" t="s">
        <v>107</v>
      </c>
      <c r="B5" s="79">
        <v>-0.48587263104540795</v>
      </c>
      <c r="C5" s="71">
        <v>-1.3180858370650018E-2</v>
      </c>
      <c r="D5" s="71">
        <v>-0.54194013128566243</v>
      </c>
      <c r="E5" s="71">
        <v>1</v>
      </c>
      <c r="F5" s="71"/>
      <c r="G5" s="71"/>
      <c r="H5" s="71"/>
      <c r="I5" s="71"/>
      <c r="J5" s="71"/>
      <c r="K5" s="71"/>
      <c r="L5" s="72"/>
    </row>
    <row r="6" spans="1:12" x14ac:dyDescent="0.3">
      <c r="A6" s="81" t="s">
        <v>108</v>
      </c>
      <c r="B6" s="79">
        <v>-0.77462827656435695</v>
      </c>
      <c r="C6" s="71">
        <v>0.31735289644333053</v>
      </c>
      <c r="D6" s="71">
        <v>-0.91693885623319393</v>
      </c>
      <c r="E6" s="71">
        <v>0.54045338696053236</v>
      </c>
      <c r="F6" s="71">
        <v>1</v>
      </c>
      <c r="G6" s="71"/>
      <c r="H6" s="71"/>
      <c r="I6" s="71"/>
      <c r="J6" s="71"/>
      <c r="K6" s="71"/>
      <c r="L6" s="72"/>
    </row>
    <row r="7" spans="1:12" x14ac:dyDescent="0.3">
      <c r="A7" s="81" t="s">
        <v>109</v>
      </c>
      <c r="B7" s="79">
        <v>0.7423165581943757</v>
      </c>
      <c r="C7" s="71">
        <v>-0.22792884871647748</v>
      </c>
      <c r="D7" s="71">
        <v>0.9001805073928042</v>
      </c>
      <c r="E7" s="71">
        <v>-0.52504070925595481</v>
      </c>
      <c r="F7" s="71">
        <v>-0.92904129495258914</v>
      </c>
      <c r="G7" s="71">
        <v>1</v>
      </c>
      <c r="H7" s="71"/>
      <c r="I7" s="71"/>
      <c r="J7" s="71"/>
      <c r="K7" s="71"/>
      <c r="L7" s="72"/>
    </row>
    <row r="8" spans="1:12" x14ac:dyDescent="0.3">
      <c r="A8" s="81" t="s">
        <v>110</v>
      </c>
      <c r="B8" s="79">
        <v>0.66069239528134871</v>
      </c>
      <c r="C8" s="71">
        <v>-0.24419755820250397</v>
      </c>
      <c r="D8" s="71">
        <v>0.74800992735081306</v>
      </c>
      <c r="E8" s="71">
        <v>-0.41592833071457597</v>
      </c>
      <c r="F8" s="71">
        <v>-0.8331748833431194</v>
      </c>
      <c r="G8" s="71">
        <v>0.86656582129142357</v>
      </c>
      <c r="H8" s="71">
        <v>1</v>
      </c>
      <c r="I8" s="71"/>
      <c r="J8" s="71"/>
      <c r="K8" s="71"/>
      <c r="L8" s="72"/>
    </row>
    <row r="9" spans="1:12" x14ac:dyDescent="0.3">
      <c r="A9" s="81" t="s">
        <v>111</v>
      </c>
      <c r="B9" s="79">
        <v>0.65982443197230478</v>
      </c>
      <c r="C9" s="71">
        <v>-0.17024043675097772</v>
      </c>
      <c r="D9" s="71">
        <v>0.84983817863922739</v>
      </c>
      <c r="E9" s="71">
        <v>-0.50142964527528322</v>
      </c>
      <c r="F9" s="71">
        <v>-0.87918891051622994</v>
      </c>
      <c r="G9" s="71">
        <v>0.86915515502429208</v>
      </c>
      <c r="H9" s="71">
        <v>0.6679996443603855</v>
      </c>
      <c r="I9" s="71">
        <v>1</v>
      </c>
      <c r="J9" s="71"/>
      <c r="K9" s="71"/>
      <c r="L9" s="72"/>
    </row>
    <row r="10" spans="1:12" x14ac:dyDescent="0.3">
      <c r="A10" s="81" t="s">
        <v>112</v>
      </c>
      <c r="B10" s="79">
        <v>0.48390167189891026</v>
      </c>
      <c r="C10" s="71">
        <v>-0.26355572755208267</v>
      </c>
      <c r="D10" s="71">
        <v>0.5154109613980713</v>
      </c>
      <c r="E10" s="71">
        <v>-0.32790213354003106</v>
      </c>
      <c r="F10" s="71">
        <v>-0.58780620648306336</v>
      </c>
      <c r="G10" s="71">
        <v>0.59526801655456918</v>
      </c>
      <c r="H10" s="71">
        <v>0.67153508722734945</v>
      </c>
      <c r="I10" s="71">
        <v>0.35188787329208937</v>
      </c>
      <c r="J10" s="71">
        <v>1</v>
      </c>
      <c r="K10" s="71"/>
      <c r="L10" s="72"/>
    </row>
    <row r="11" spans="1:12" ht="15" thickBot="1" x14ac:dyDescent="0.35">
      <c r="A11" s="82" t="s">
        <v>113</v>
      </c>
      <c r="B11" s="83">
        <v>0.75448978768531638</v>
      </c>
      <c r="C11" s="84">
        <v>-0.29437249664879045</v>
      </c>
      <c r="D11" s="84">
        <v>0.96183787600081705</v>
      </c>
      <c r="E11" s="84">
        <v>-0.52561149951859087</v>
      </c>
      <c r="F11" s="84">
        <v>-0.92556977103741445</v>
      </c>
      <c r="G11" s="84">
        <v>0.9057443299985134</v>
      </c>
      <c r="H11" s="84">
        <v>0.74817126339186002</v>
      </c>
      <c r="I11" s="84">
        <v>0.84946753446636569</v>
      </c>
      <c r="J11" s="84">
        <v>0.54006103550271156</v>
      </c>
      <c r="K11" s="84">
        <v>1</v>
      </c>
      <c r="L11" s="85"/>
    </row>
    <row r="12" spans="1:12" ht="15" thickBot="1" x14ac:dyDescent="0.35">
      <c r="A12" s="86" t="s">
        <v>115</v>
      </c>
      <c r="B12" s="87">
        <v>0.64507754853807409</v>
      </c>
      <c r="C12" s="88">
        <v>-1.0416787513384607E-3</v>
      </c>
      <c r="D12" s="88">
        <v>0.5844424023609669</v>
      </c>
      <c r="E12" s="88">
        <v>-0.33260799279443104</v>
      </c>
      <c r="F12" s="88">
        <v>-0.65734276695884986</v>
      </c>
      <c r="G12" s="88">
        <v>0.62704712094652848</v>
      </c>
      <c r="H12" s="88">
        <v>0.62926403855085644</v>
      </c>
      <c r="I12" s="88">
        <v>0.48007850812433933</v>
      </c>
      <c r="J12" s="88">
        <v>0.51706506138237807</v>
      </c>
      <c r="K12" s="88">
        <v>0.59606846539402025</v>
      </c>
      <c r="L12" s="8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Master</vt:lpstr>
      <vt:lpstr>SubMaster</vt:lpstr>
      <vt:lpstr>Радиус зоны дренирования, м</vt:lpstr>
      <vt:lpstr>Количество стадий ГРП, шт</vt:lpstr>
      <vt:lpstr>Дебит нефти скважины, м3 сут</vt:lpstr>
      <vt:lpstr>Correlation ALL</vt:lpstr>
      <vt:lpstr>Correlation MAIN</vt:lpstr>
      <vt:lpstr>Normalization Detailed</vt:lpstr>
      <vt:lpstr>Correlation of Normalized</vt:lpstr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Соловьев Василий Васильевич</dc:creator>
  <cp:lastModifiedBy>Юрий Хрипунов</cp:lastModifiedBy>
  <dcterms:created xsi:type="dcterms:W3CDTF">2022-03-31T09:38:55Z</dcterms:created>
  <dcterms:modified xsi:type="dcterms:W3CDTF">2025-11-17T12:12:39Z</dcterms:modified>
</cp:coreProperties>
</file>